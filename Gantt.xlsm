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acuu\Desktop\"/>
    </mc:Choice>
  </mc:AlternateContent>
  <bookViews>
    <workbookView xWindow="0" yWindow="0" windowWidth="20490" windowHeight="7755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X83" i="1" l="1"/>
  <c r="BB80" i="1"/>
  <c r="AB83" i="1"/>
  <c r="AB82" i="1"/>
  <c r="AB81" i="1"/>
  <c r="AB80" i="1"/>
  <c r="BB65" i="1"/>
  <c r="AB68" i="1"/>
  <c r="AB67" i="1"/>
  <c r="AB66" i="1"/>
  <c r="AB65" i="1"/>
  <c r="BX68" i="1"/>
  <c r="BX53" i="1"/>
  <c r="BB50" i="1"/>
  <c r="AB51" i="1"/>
  <c r="AB50" i="1"/>
  <c r="AB53" i="1"/>
  <c r="AB52" i="1"/>
  <c r="BB29" i="1"/>
  <c r="AB32" i="1"/>
  <c r="AB31" i="1"/>
  <c r="AB30" i="1"/>
  <c r="AB29" i="1"/>
  <c r="BB9" i="1"/>
  <c r="AB12" i="1"/>
  <c r="AB11" i="1"/>
  <c r="AB10" i="1"/>
  <c r="AB9" i="1"/>
  <c r="BX32" i="1"/>
  <c r="BX12" i="1"/>
  <c r="AY56" i="1"/>
  <c r="AY55" i="1"/>
  <c r="AY54" i="1"/>
  <c r="AY53" i="1"/>
  <c r="AY86" i="1"/>
  <c r="AY85" i="1"/>
  <c r="AY84" i="1"/>
  <c r="AY71" i="1"/>
  <c r="AY70" i="1"/>
  <c r="AY68" i="1"/>
  <c r="AY69" i="1"/>
  <c r="AY83" i="1"/>
</calcChain>
</file>

<file path=xl/sharedStrings.xml><?xml version="1.0" encoding="utf-8"?>
<sst xmlns="http://schemas.openxmlformats.org/spreadsheetml/2006/main" count="448" uniqueCount="97">
  <si>
    <t>p1</t>
  </si>
  <si>
    <t>p2</t>
  </si>
  <si>
    <t>p3</t>
  </si>
  <si>
    <t>p4</t>
  </si>
  <si>
    <t>tiempo</t>
  </si>
  <si>
    <t>TIP = 1</t>
  </si>
  <si>
    <t>TCP = 1</t>
  </si>
  <si>
    <t>TFP = 1</t>
  </si>
  <si>
    <t>Ejecucion</t>
  </si>
  <si>
    <t>Arribo</t>
  </si>
  <si>
    <t>Cant. Rafagas CPU</t>
  </si>
  <si>
    <t>Duracion rafaga CPU</t>
  </si>
  <si>
    <t>Duracion rafaga I/O</t>
  </si>
  <si>
    <t>Prioridad</t>
  </si>
  <si>
    <t>Arriba</t>
  </si>
  <si>
    <t>I/O</t>
  </si>
  <si>
    <t>T.retorno p1</t>
  </si>
  <si>
    <t>T.retorno p2</t>
  </si>
  <si>
    <t>T.retorno p3</t>
  </si>
  <si>
    <t>T.retorno p4</t>
  </si>
  <si>
    <t>T.retorno normalizado p1</t>
  </si>
  <si>
    <t>T.retorno normalizado p2</t>
  </si>
  <si>
    <t>T.retorno normalizado p3</t>
  </si>
  <si>
    <t>T.retorno normalizado p4</t>
  </si>
  <si>
    <t>81/40</t>
  </si>
  <si>
    <t>Tiempo medio de retorno de la tanda</t>
  </si>
  <si>
    <t>Tiempo de espera p1</t>
  </si>
  <si>
    <t>Tiempo de espera p2</t>
  </si>
  <si>
    <t>Tiempo de espera p3</t>
  </si>
  <si>
    <t>Tiempo de espera p4</t>
  </si>
  <si>
    <t>Tiempo de espera promedio</t>
  </si>
  <si>
    <t>(18+13+45+39)/4 =</t>
  </si>
  <si>
    <t>FCFS</t>
  </si>
  <si>
    <t>SPN (SJF)</t>
  </si>
  <si>
    <t xml:space="preserve">(24+41+15+18)/4 = </t>
  </si>
  <si>
    <t>65/20</t>
  </si>
  <si>
    <t>66-1</t>
  </si>
  <si>
    <t>87-5</t>
  </si>
  <si>
    <t>124-9</t>
  </si>
  <si>
    <t>109-11</t>
  </si>
  <si>
    <t>115/15</t>
  </si>
  <si>
    <t>98/30</t>
  </si>
  <si>
    <t>(66+87+124+109)/4 =</t>
  </si>
  <si>
    <t>72-1</t>
  </si>
  <si>
    <t>115-5</t>
  </si>
  <si>
    <t>94-9</t>
  </si>
  <si>
    <t>88-11</t>
  </si>
  <si>
    <t>71/20</t>
  </si>
  <si>
    <t>110/40</t>
  </si>
  <si>
    <t>85/15</t>
  </si>
  <si>
    <t>77/30</t>
  </si>
  <si>
    <t xml:space="preserve">(72+115+94+88)/4 = </t>
  </si>
  <si>
    <t>Round Robin</t>
  </si>
  <si>
    <t>Q = 1</t>
  </si>
  <si>
    <t>153-9</t>
  </si>
  <si>
    <t>191-11</t>
  </si>
  <si>
    <t>144/15</t>
  </si>
  <si>
    <t>180/30</t>
  </si>
  <si>
    <t>125/20</t>
  </si>
  <si>
    <t>126-1</t>
  </si>
  <si>
    <t>202-5</t>
  </si>
  <si>
    <t>197/40</t>
  </si>
  <si>
    <t xml:space="preserve">(126+202+153+191)/4 = </t>
  </si>
  <si>
    <t>Lista de Listos</t>
  </si>
  <si>
    <t>1°</t>
  </si>
  <si>
    <t>2°</t>
  </si>
  <si>
    <t>3°</t>
  </si>
  <si>
    <t>4°</t>
  </si>
  <si>
    <t xml:space="preserve">(65+100+62+93)/4 = </t>
  </si>
  <si>
    <t>Prioridad Externa</t>
  </si>
  <si>
    <t>84-1</t>
  </si>
  <si>
    <t>73-5</t>
  </si>
  <si>
    <t>121-9</t>
  </si>
  <si>
    <t>137-11</t>
  </si>
  <si>
    <t>83/20</t>
  </si>
  <si>
    <t>68/40</t>
  </si>
  <si>
    <t>112/15</t>
  </si>
  <si>
    <t>126/30</t>
  </si>
  <si>
    <t xml:space="preserve">(84+73+121+137)/4 = </t>
  </si>
  <si>
    <t>6+8</t>
  </si>
  <si>
    <t>23+23</t>
  </si>
  <si>
    <t>27+13</t>
  </si>
  <si>
    <t>28+14</t>
  </si>
  <si>
    <t>2+12+2</t>
  </si>
  <si>
    <t>6+13</t>
  </si>
  <si>
    <t>SRTN</t>
  </si>
  <si>
    <t>48-1</t>
  </si>
  <si>
    <t>119-5</t>
  </si>
  <si>
    <t>85-9</t>
  </si>
  <si>
    <t>96-11</t>
  </si>
  <si>
    <t>47/20</t>
  </si>
  <si>
    <t>114/40</t>
  </si>
  <si>
    <t>76/15</t>
  </si>
  <si>
    <t>85/30</t>
  </si>
  <si>
    <t xml:space="preserve">(48+119+85+96)/4 = </t>
  </si>
  <si>
    <t xml:space="preserve">(0+45+7+26)/4 = </t>
  </si>
  <si>
    <t>CPU desocupada: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</si>
</sst>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Border="1"/>
    <xf numFmtId="0" fontId="0" fillId="9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6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Z199"/>
  <sheetViews>
    <sheetView tabSelected="1" topLeftCell="M55" zoomScale="70" zoomScaleNormal="70" workbookViewId="0">
      <selection activeCell="BB33" sqref="BB33"/>
    </sheetView>
  </sheetViews>
  <sheetFormatPr baseColWidth="10" defaultRowHeight="15" x14ac:dyDescent="0.25"/>
  <cols>
    <col min="2" max="2" width="11" customWidth="1"/>
    <col min="3" max="3" width="13" customWidth="1"/>
    <col min="4" max="5" width="4" customWidth="1"/>
    <col min="6" max="6" width="4.140625" customWidth="1"/>
    <col min="7" max="103" width="3.5703125" customWidth="1"/>
    <col min="104" max="242" width="3.7109375" customWidth="1"/>
  </cols>
  <sheetData>
    <row r="1" spans="1:14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8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</row>
    <row r="2" spans="1:142" x14ac:dyDescent="0.25">
      <c r="A2" s="30"/>
      <c r="B2" s="48" t="s">
        <v>32</v>
      </c>
      <c r="C2" s="48"/>
      <c r="D2" s="11"/>
      <c r="E2" s="25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7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</row>
    <row r="3" spans="1:142" ht="9.9499999999999993" customHeight="1" x14ac:dyDescent="0.25">
      <c r="A3" s="30"/>
      <c r="B3" s="11"/>
      <c r="C3" s="7" t="s">
        <v>0</v>
      </c>
      <c r="D3" s="18"/>
      <c r="E3" s="19"/>
      <c r="F3" s="19"/>
      <c r="G3" s="19"/>
      <c r="H3" s="19"/>
      <c r="I3" s="19"/>
      <c r="J3" s="19"/>
      <c r="K3" s="19"/>
      <c r="L3" s="19"/>
      <c r="M3" s="19"/>
      <c r="N3" s="19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20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22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24"/>
      <c r="DY3" s="23"/>
      <c r="DZ3" s="11"/>
      <c r="EA3" s="7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</row>
    <row r="4" spans="1:142" ht="9.9499999999999993" customHeight="1" x14ac:dyDescent="0.25">
      <c r="A4" s="30"/>
      <c r="B4" s="11"/>
      <c r="C4" s="7" t="s">
        <v>1</v>
      </c>
      <c r="D4" s="11"/>
      <c r="E4" s="11"/>
      <c r="F4" s="11"/>
      <c r="G4" s="11"/>
      <c r="H4" s="18"/>
      <c r="I4" s="25"/>
      <c r="J4" s="11"/>
      <c r="K4" s="11"/>
      <c r="L4" s="11"/>
      <c r="M4" s="11"/>
      <c r="N4" s="11"/>
      <c r="O4" s="20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11"/>
      <c r="BJ4" s="11"/>
      <c r="BK4" s="11"/>
      <c r="BL4" s="11"/>
      <c r="BM4" s="11"/>
      <c r="BN4" s="11"/>
      <c r="BO4" s="11"/>
      <c r="BP4" s="11"/>
      <c r="BQ4" s="20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22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24"/>
      <c r="DY4" s="23"/>
      <c r="DZ4" s="11"/>
      <c r="EA4" s="7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</row>
    <row r="5" spans="1:142" ht="9.9499999999999993" customHeight="1" x14ac:dyDescent="0.25">
      <c r="A5" s="30"/>
      <c r="B5" s="11"/>
      <c r="C5" s="7" t="s">
        <v>2</v>
      </c>
      <c r="D5" s="11"/>
      <c r="E5" s="11"/>
      <c r="F5" s="11"/>
      <c r="G5" s="11"/>
      <c r="H5" s="11"/>
      <c r="I5" s="11"/>
      <c r="J5" s="11"/>
      <c r="K5" s="11"/>
      <c r="L5" s="18"/>
      <c r="M5" s="2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20"/>
      <c r="AK5" s="19"/>
      <c r="AL5" s="19"/>
      <c r="AM5" s="19"/>
      <c r="AN5" s="19"/>
      <c r="AO5" s="19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20"/>
      <c r="CM5" s="19"/>
      <c r="CN5" s="19"/>
      <c r="CO5" s="19"/>
      <c r="CP5" s="19"/>
      <c r="CQ5" s="19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0"/>
      <c r="DR5" s="19"/>
      <c r="DS5" s="19"/>
      <c r="DT5" s="19"/>
      <c r="DU5" s="19"/>
      <c r="DV5" s="19"/>
      <c r="DW5" s="22"/>
      <c r="DX5" s="24"/>
      <c r="DY5" s="23"/>
      <c r="DZ5" s="11"/>
      <c r="EA5" s="7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</row>
    <row r="6" spans="1:142" ht="9.9499999999999993" customHeight="1" x14ac:dyDescent="0.25">
      <c r="A6" s="30"/>
      <c r="B6" s="11"/>
      <c r="C6" s="7" t="s">
        <v>3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8"/>
      <c r="O6" s="25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20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20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22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24"/>
      <c r="DY6" s="23"/>
      <c r="DZ6" s="11"/>
      <c r="EA6" s="7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</row>
    <row r="7" spans="1:142" x14ac:dyDescent="0.25">
      <c r="A7" s="30"/>
      <c r="B7" s="11"/>
      <c r="C7" s="8" t="s">
        <v>4</v>
      </c>
      <c r="D7" s="9">
        <v>0</v>
      </c>
      <c r="E7" s="10">
        <v>1</v>
      </c>
      <c r="F7" s="9">
        <v>2</v>
      </c>
      <c r="G7" s="10">
        <v>3</v>
      </c>
      <c r="H7" s="9">
        <v>4</v>
      </c>
      <c r="I7" s="10">
        <v>5</v>
      </c>
      <c r="J7" s="9">
        <v>6</v>
      </c>
      <c r="K7" s="10">
        <v>7</v>
      </c>
      <c r="L7" s="9">
        <v>8</v>
      </c>
      <c r="M7" s="10">
        <v>9</v>
      </c>
      <c r="N7" s="9">
        <v>10</v>
      </c>
      <c r="O7" s="10">
        <v>11</v>
      </c>
      <c r="P7" s="9">
        <v>12</v>
      </c>
      <c r="Q7" s="10">
        <v>13</v>
      </c>
      <c r="R7" s="9">
        <v>14</v>
      </c>
      <c r="S7" s="10">
        <v>15</v>
      </c>
      <c r="T7" s="9">
        <v>16</v>
      </c>
      <c r="U7" s="10">
        <v>17</v>
      </c>
      <c r="V7" s="9">
        <v>18</v>
      </c>
      <c r="W7" s="10">
        <v>19</v>
      </c>
      <c r="X7" s="9">
        <v>20</v>
      </c>
      <c r="Y7" s="10">
        <v>21</v>
      </c>
      <c r="Z7" s="9">
        <v>22</v>
      </c>
      <c r="AA7" s="10">
        <v>23</v>
      </c>
      <c r="AB7" s="9">
        <v>24</v>
      </c>
      <c r="AC7" s="10">
        <v>25</v>
      </c>
      <c r="AD7" s="9">
        <v>26</v>
      </c>
      <c r="AE7" s="10">
        <v>27</v>
      </c>
      <c r="AF7" s="9">
        <v>28</v>
      </c>
      <c r="AG7" s="10">
        <v>29</v>
      </c>
      <c r="AH7" s="9">
        <v>30</v>
      </c>
      <c r="AI7" s="10">
        <v>31</v>
      </c>
      <c r="AJ7" s="9">
        <v>32</v>
      </c>
      <c r="AK7" s="10">
        <v>33</v>
      </c>
      <c r="AL7" s="9">
        <v>34</v>
      </c>
      <c r="AM7" s="10">
        <v>35</v>
      </c>
      <c r="AN7" s="9">
        <v>36</v>
      </c>
      <c r="AO7" s="10">
        <v>37</v>
      </c>
      <c r="AP7" s="9">
        <v>38</v>
      </c>
      <c r="AQ7" s="10">
        <v>39</v>
      </c>
      <c r="AR7" s="9">
        <v>40</v>
      </c>
      <c r="AS7" s="10">
        <v>41</v>
      </c>
      <c r="AT7" s="9">
        <v>42</v>
      </c>
      <c r="AU7" s="10">
        <v>43</v>
      </c>
      <c r="AV7" s="9">
        <v>44</v>
      </c>
      <c r="AW7" s="10">
        <v>45</v>
      </c>
      <c r="AX7" s="9">
        <v>46</v>
      </c>
      <c r="AY7" s="10">
        <v>47</v>
      </c>
      <c r="AZ7" s="9">
        <v>48</v>
      </c>
      <c r="BA7" s="10">
        <v>49</v>
      </c>
      <c r="BB7" s="9">
        <v>50</v>
      </c>
      <c r="BC7" s="10">
        <v>51</v>
      </c>
      <c r="BD7" s="9">
        <v>52</v>
      </c>
      <c r="BE7" s="10">
        <v>53</v>
      </c>
      <c r="BF7" s="9">
        <v>54</v>
      </c>
      <c r="BG7" s="10">
        <v>55</v>
      </c>
      <c r="BH7" s="9">
        <v>56</v>
      </c>
      <c r="BI7" s="10">
        <v>57</v>
      </c>
      <c r="BJ7" s="9">
        <v>58</v>
      </c>
      <c r="BK7" s="10">
        <v>59</v>
      </c>
      <c r="BL7" s="9">
        <v>60</v>
      </c>
      <c r="BM7" s="10">
        <v>61</v>
      </c>
      <c r="BN7" s="9">
        <v>62</v>
      </c>
      <c r="BO7" s="10">
        <v>63</v>
      </c>
      <c r="BP7" s="9">
        <v>64</v>
      </c>
      <c r="BQ7" s="10">
        <v>65</v>
      </c>
      <c r="BR7" s="9">
        <v>66</v>
      </c>
      <c r="BS7" s="10">
        <v>67</v>
      </c>
      <c r="BT7" s="9">
        <v>68</v>
      </c>
      <c r="BU7" s="10">
        <v>69</v>
      </c>
      <c r="BV7" s="9">
        <v>70</v>
      </c>
      <c r="BW7" s="10">
        <v>71</v>
      </c>
      <c r="BX7" s="9">
        <v>72</v>
      </c>
      <c r="BY7" s="10">
        <v>73</v>
      </c>
      <c r="BZ7" s="9">
        <v>74</v>
      </c>
      <c r="CA7" s="10">
        <v>75</v>
      </c>
      <c r="CB7" s="9">
        <v>76</v>
      </c>
      <c r="CC7" s="10">
        <v>77</v>
      </c>
      <c r="CD7" s="9">
        <v>78</v>
      </c>
      <c r="CE7" s="10">
        <v>79</v>
      </c>
      <c r="CF7" s="9">
        <v>80</v>
      </c>
      <c r="CG7" s="10">
        <v>81</v>
      </c>
      <c r="CH7" s="9">
        <v>82</v>
      </c>
      <c r="CI7" s="10">
        <v>83</v>
      </c>
      <c r="CJ7" s="9">
        <v>84</v>
      </c>
      <c r="CK7" s="10">
        <v>85</v>
      </c>
      <c r="CL7" s="9">
        <v>86</v>
      </c>
      <c r="CM7" s="10">
        <v>87</v>
      </c>
      <c r="CN7" s="9">
        <v>88</v>
      </c>
      <c r="CO7" s="10">
        <v>89</v>
      </c>
      <c r="CP7" s="9">
        <v>90</v>
      </c>
      <c r="CQ7" s="10">
        <v>91</v>
      </c>
      <c r="CR7" s="9">
        <v>92</v>
      </c>
      <c r="CS7" s="10">
        <v>93</v>
      </c>
      <c r="CT7" s="9">
        <v>94</v>
      </c>
      <c r="CU7" s="10">
        <v>95</v>
      </c>
      <c r="CV7" s="9">
        <v>96</v>
      </c>
      <c r="CW7" s="10">
        <v>97</v>
      </c>
      <c r="CX7" s="9">
        <v>98</v>
      </c>
      <c r="CY7" s="10">
        <v>99</v>
      </c>
      <c r="CZ7" s="9">
        <v>100</v>
      </c>
      <c r="DA7" s="10">
        <v>101</v>
      </c>
      <c r="DB7" s="9">
        <v>102</v>
      </c>
      <c r="DC7" s="10">
        <v>103</v>
      </c>
      <c r="DD7" s="9">
        <v>104</v>
      </c>
      <c r="DE7" s="10">
        <v>105</v>
      </c>
      <c r="DF7" s="9">
        <v>106</v>
      </c>
      <c r="DG7" s="10">
        <v>107</v>
      </c>
      <c r="DH7" s="9">
        <v>108</v>
      </c>
      <c r="DI7" s="10">
        <v>109</v>
      </c>
      <c r="DJ7" s="9">
        <v>110</v>
      </c>
      <c r="DK7" s="10">
        <v>111</v>
      </c>
      <c r="DL7" s="9">
        <v>112</v>
      </c>
      <c r="DM7" s="10">
        <v>113</v>
      </c>
      <c r="DN7" s="9">
        <v>114</v>
      </c>
      <c r="DO7" s="10">
        <v>115</v>
      </c>
      <c r="DP7" s="9">
        <v>116</v>
      </c>
      <c r="DQ7" s="10">
        <v>117</v>
      </c>
      <c r="DR7" s="9">
        <v>118</v>
      </c>
      <c r="DS7" s="10">
        <v>119</v>
      </c>
      <c r="DT7" s="9">
        <v>120</v>
      </c>
      <c r="DU7" s="10">
        <v>121</v>
      </c>
      <c r="DV7" s="9">
        <v>122</v>
      </c>
      <c r="DW7" s="10">
        <v>123</v>
      </c>
      <c r="DX7" s="10">
        <v>124</v>
      </c>
      <c r="DY7" s="10"/>
      <c r="DZ7" s="10"/>
      <c r="EA7" s="8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</row>
    <row r="8" spans="1:142" x14ac:dyDescent="0.25">
      <c r="A8" s="31"/>
      <c r="B8" s="11" t="s">
        <v>14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7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</row>
    <row r="9" spans="1:142" x14ac:dyDescent="0.25">
      <c r="A9" s="32"/>
      <c r="B9" s="11" t="s">
        <v>5</v>
      </c>
      <c r="C9" s="11"/>
      <c r="D9" s="43" t="s">
        <v>16</v>
      </c>
      <c r="E9" s="43"/>
      <c r="F9" s="43"/>
      <c r="G9" s="43" t="s">
        <v>36</v>
      </c>
      <c r="H9" s="43"/>
      <c r="I9" s="43"/>
      <c r="J9" s="43">
        <v>65</v>
      </c>
      <c r="K9" s="43"/>
      <c r="L9" s="43"/>
      <c r="M9" s="43"/>
      <c r="N9" s="43"/>
      <c r="O9" s="43"/>
      <c r="P9" s="47" t="s">
        <v>20</v>
      </c>
      <c r="Q9" s="47"/>
      <c r="R9" s="47"/>
      <c r="S9" s="47"/>
      <c r="T9" s="47"/>
      <c r="U9" s="47"/>
      <c r="V9" s="47"/>
      <c r="W9" s="47"/>
      <c r="X9" s="47"/>
      <c r="Y9" s="43" t="s">
        <v>35</v>
      </c>
      <c r="Z9" s="43"/>
      <c r="AA9" s="43"/>
      <c r="AB9" s="43">
        <f>65/20</f>
        <v>3.25</v>
      </c>
      <c r="AC9" s="43"/>
      <c r="AD9" s="43"/>
      <c r="AE9" s="11"/>
      <c r="AF9" s="11"/>
      <c r="AG9" s="43" t="s">
        <v>25</v>
      </c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11"/>
      <c r="AT9" s="43" t="s">
        <v>42</v>
      </c>
      <c r="AU9" s="43"/>
      <c r="AV9" s="43"/>
      <c r="AW9" s="43"/>
      <c r="AX9" s="43"/>
      <c r="AY9" s="43"/>
      <c r="AZ9" s="43"/>
      <c r="BA9" s="11"/>
      <c r="BB9" s="43">
        <f>(66+87+124+109)/4</f>
        <v>96.5</v>
      </c>
      <c r="BC9" s="43"/>
      <c r="BD9" s="43"/>
      <c r="BE9" s="43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7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</row>
    <row r="10" spans="1:142" x14ac:dyDescent="0.25">
      <c r="A10" s="33"/>
      <c r="B10" s="11" t="s">
        <v>6</v>
      </c>
      <c r="C10" s="11"/>
      <c r="D10" s="43" t="s">
        <v>17</v>
      </c>
      <c r="E10" s="43"/>
      <c r="F10" s="43"/>
      <c r="G10" s="43" t="s">
        <v>37</v>
      </c>
      <c r="H10" s="43"/>
      <c r="I10" s="43"/>
      <c r="J10" s="43">
        <v>82</v>
      </c>
      <c r="K10" s="43"/>
      <c r="L10" s="43"/>
      <c r="M10" s="43"/>
      <c r="N10" s="43"/>
      <c r="O10" s="43"/>
      <c r="P10" s="47" t="s">
        <v>21</v>
      </c>
      <c r="Q10" s="47"/>
      <c r="R10" s="47"/>
      <c r="S10" s="47"/>
      <c r="T10" s="47"/>
      <c r="U10" s="47"/>
      <c r="V10" s="47"/>
      <c r="W10" s="47"/>
      <c r="X10" s="47"/>
      <c r="Y10" s="43" t="s">
        <v>24</v>
      </c>
      <c r="Z10" s="43"/>
      <c r="AA10" s="43"/>
      <c r="AB10" s="43">
        <f>82/40</f>
        <v>2.0499999999999998</v>
      </c>
      <c r="AC10" s="43"/>
      <c r="AD10" s="43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7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</row>
    <row r="11" spans="1:142" x14ac:dyDescent="0.25">
      <c r="A11" s="34"/>
      <c r="B11" s="11" t="s">
        <v>7</v>
      </c>
      <c r="C11" s="11"/>
      <c r="D11" s="43" t="s">
        <v>18</v>
      </c>
      <c r="E11" s="43"/>
      <c r="F11" s="43"/>
      <c r="G11" s="43" t="s">
        <v>38</v>
      </c>
      <c r="H11" s="43"/>
      <c r="I11" s="43"/>
      <c r="J11" s="43">
        <v>115</v>
      </c>
      <c r="K11" s="43"/>
      <c r="L11" s="43"/>
      <c r="M11" s="43"/>
      <c r="N11" s="43"/>
      <c r="O11" s="43"/>
      <c r="P11" s="47" t="s">
        <v>22</v>
      </c>
      <c r="Q11" s="47"/>
      <c r="R11" s="47"/>
      <c r="S11" s="47"/>
      <c r="T11" s="47"/>
      <c r="U11" s="47"/>
      <c r="V11" s="47"/>
      <c r="W11" s="47"/>
      <c r="X11" s="47"/>
      <c r="Y11" s="43" t="s">
        <v>40</v>
      </c>
      <c r="Z11" s="43"/>
      <c r="AA11" s="43"/>
      <c r="AB11" s="43">
        <f>115/15</f>
        <v>7.666666666666667</v>
      </c>
      <c r="AC11" s="43"/>
      <c r="AD11" s="43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7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</row>
    <row r="12" spans="1:142" x14ac:dyDescent="0.25">
      <c r="A12" s="35"/>
      <c r="B12" s="36" t="s">
        <v>8</v>
      </c>
      <c r="C12" s="11"/>
      <c r="D12" s="43" t="s">
        <v>19</v>
      </c>
      <c r="E12" s="43"/>
      <c r="F12" s="43"/>
      <c r="G12" s="43" t="s">
        <v>39</v>
      </c>
      <c r="H12" s="43"/>
      <c r="I12" s="43"/>
      <c r="J12" s="43">
        <v>98</v>
      </c>
      <c r="K12" s="43"/>
      <c r="L12" s="43"/>
      <c r="M12" s="43"/>
      <c r="N12" s="43"/>
      <c r="O12" s="43"/>
      <c r="P12" s="47" t="s">
        <v>23</v>
      </c>
      <c r="Q12" s="47"/>
      <c r="R12" s="47"/>
      <c r="S12" s="47"/>
      <c r="T12" s="47"/>
      <c r="U12" s="47"/>
      <c r="V12" s="47"/>
      <c r="W12" s="47"/>
      <c r="X12" s="47"/>
      <c r="Y12" s="43" t="s">
        <v>41</v>
      </c>
      <c r="Z12" s="43"/>
      <c r="AA12" s="43"/>
      <c r="AB12" s="43">
        <f>98/30</f>
        <v>3.2666666666666666</v>
      </c>
      <c r="AC12" s="43"/>
      <c r="AD12" s="43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43" t="s">
        <v>26</v>
      </c>
      <c r="AT12" s="43"/>
      <c r="AU12" s="43"/>
      <c r="AV12" s="43"/>
      <c r="AW12" s="43"/>
      <c r="AX12" s="43"/>
      <c r="AY12" s="43">
        <v>18</v>
      </c>
      <c r="AZ12" s="43"/>
      <c r="BA12" s="43"/>
      <c r="BB12" s="11">
        <v>18</v>
      </c>
      <c r="BC12" s="11"/>
      <c r="BD12" s="11"/>
      <c r="BE12" s="11"/>
      <c r="BF12" s="11"/>
      <c r="BG12" s="43" t="s">
        <v>30</v>
      </c>
      <c r="BH12" s="43"/>
      <c r="BI12" s="43"/>
      <c r="BJ12" s="43"/>
      <c r="BK12" s="43"/>
      <c r="BL12" s="43"/>
      <c r="BM12" s="43"/>
      <c r="BN12" s="43"/>
      <c r="BO12" s="43"/>
      <c r="BP12" s="11"/>
      <c r="BQ12" s="43" t="s">
        <v>31</v>
      </c>
      <c r="BR12" s="43"/>
      <c r="BS12" s="43"/>
      <c r="BT12" s="43"/>
      <c r="BU12" s="43"/>
      <c r="BV12" s="43"/>
      <c r="BW12" s="11"/>
      <c r="BX12" s="43">
        <f>(18+13+45+39)/4</f>
        <v>28.75</v>
      </c>
      <c r="BY12" s="43"/>
      <c r="BZ12" s="43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7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</row>
    <row r="13" spans="1:142" x14ac:dyDescent="0.25">
      <c r="A13" s="37"/>
      <c r="B13" s="11" t="s">
        <v>15</v>
      </c>
      <c r="C13" s="11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43" t="s">
        <v>27</v>
      </c>
      <c r="AT13" s="43"/>
      <c r="AU13" s="43"/>
      <c r="AV13" s="43"/>
      <c r="AW13" s="43"/>
      <c r="AX13" s="43"/>
      <c r="AY13" s="43" t="s">
        <v>79</v>
      </c>
      <c r="AZ13" s="43"/>
      <c r="BA13" s="43"/>
      <c r="BB13" s="11">
        <v>14</v>
      </c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7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</row>
    <row r="14" spans="1:142" x14ac:dyDescent="0.25">
      <c r="A14" s="30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43" t="s">
        <v>28</v>
      </c>
      <c r="AT14" s="43"/>
      <c r="AU14" s="43"/>
      <c r="AV14" s="43"/>
      <c r="AW14" s="43"/>
      <c r="AX14" s="43"/>
      <c r="AY14" s="43" t="s">
        <v>80</v>
      </c>
      <c r="AZ14" s="43"/>
      <c r="BA14" s="43"/>
      <c r="BB14" s="11">
        <v>46</v>
      </c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7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</row>
    <row r="15" spans="1:142" x14ac:dyDescent="0.25">
      <c r="A15" s="30"/>
      <c r="B15" s="11" t="s">
        <v>9</v>
      </c>
      <c r="C15" s="43" t="s">
        <v>11</v>
      </c>
      <c r="D15" s="43"/>
      <c r="E15" s="43"/>
      <c r="F15" s="43"/>
      <c r="G15" s="43"/>
      <c r="H15" s="43"/>
      <c r="I15" s="43"/>
      <c r="J15" s="43" t="s">
        <v>10</v>
      </c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 t="s">
        <v>12</v>
      </c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">
        <v>13</v>
      </c>
      <c r="AI15" s="43"/>
      <c r="AJ15" s="43"/>
      <c r="AK15" s="43"/>
      <c r="AL15" s="43"/>
      <c r="AM15" s="43"/>
      <c r="AN15" s="11"/>
      <c r="AO15" s="11"/>
      <c r="AP15" s="11"/>
      <c r="AQ15" s="11"/>
      <c r="AR15" s="11"/>
      <c r="AS15" s="43" t="s">
        <v>29</v>
      </c>
      <c r="AT15" s="43"/>
      <c r="AU15" s="43"/>
      <c r="AV15" s="43"/>
      <c r="AW15" s="43"/>
      <c r="AX15" s="43"/>
      <c r="AY15" s="43" t="s">
        <v>81</v>
      </c>
      <c r="AZ15" s="43"/>
      <c r="BA15" s="43"/>
      <c r="BB15" s="11">
        <v>40</v>
      </c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7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</row>
    <row r="16" spans="1:142" x14ac:dyDescent="0.25">
      <c r="A16" s="30" t="s">
        <v>0</v>
      </c>
      <c r="B16" s="11">
        <v>0</v>
      </c>
      <c r="C16" s="43">
        <v>10</v>
      </c>
      <c r="D16" s="43"/>
      <c r="E16" s="43"/>
      <c r="F16" s="43"/>
      <c r="G16" s="43"/>
      <c r="H16" s="43"/>
      <c r="I16" s="43"/>
      <c r="J16" s="43">
        <v>2</v>
      </c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>
        <v>25</v>
      </c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>
        <v>30</v>
      </c>
      <c r="AI16" s="43"/>
      <c r="AJ16" s="43"/>
      <c r="AK16" s="43"/>
      <c r="AL16" s="43"/>
      <c r="AM16" s="43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7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</row>
    <row r="17" spans="1:142" x14ac:dyDescent="0.25">
      <c r="A17" s="30" t="s">
        <v>1</v>
      </c>
      <c r="B17" s="11">
        <v>4</v>
      </c>
      <c r="C17" s="43">
        <v>20</v>
      </c>
      <c r="D17" s="43"/>
      <c r="E17" s="43"/>
      <c r="F17" s="43"/>
      <c r="G17" s="43"/>
      <c r="H17" s="43"/>
      <c r="I17" s="43"/>
      <c r="J17" s="43">
        <v>2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>
        <v>25</v>
      </c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>
        <v>50</v>
      </c>
      <c r="AI17" s="43"/>
      <c r="AJ17" s="43"/>
      <c r="AK17" s="43"/>
      <c r="AL17" s="43"/>
      <c r="AM17" s="43"/>
      <c r="AN17" s="11"/>
      <c r="AO17" s="11"/>
      <c r="AP17" s="11"/>
      <c r="AQ17" s="43" t="s">
        <v>96</v>
      </c>
      <c r="AR17" s="43"/>
      <c r="AS17" s="43"/>
      <c r="AT17" s="43"/>
      <c r="AU17" s="43"/>
      <c r="AV17" s="11">
        <v>10</v>
      </c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7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</row>
    <row r="18" spans="1:142" x14ac:dyDescent="0.25">
      <c r="A18" s="30" t="s">
        <v>2</v>
      </c>
      <c r="B18" s="11">
        <v>8</v>
      </c>
      <c r="C18" s="43">
        <v>5</v>
      </c>
      <c r="D18" s="43"/>
      <c r="E18" s="43"/>
      <c r="F18" s="43"/>
      <c r="G18" s="43"/>
      <c r="H18" s="43"/>
      <c r="I18" s="43"/>
      <c r="J18" s="43">
        <v>3</v>
      </c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>
        <v>25</v>
      </c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>
        <v>20</v>
      </c>
      <c r="AI18" s="43"/>
      <c r="AJ18" s="43"/>
      <c r="AK18" s="43"/>
      <c r="AL18" s="43"/>
      <c r="AM18" s="43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7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</row>
    <row r="19" spans="1:142" x14ac:dyDescent="0.25">
      <c r="A19" s="38" t="s">
        <v>3</v>
      </c>
      <c r="B19" s="28">
        <v>10</v>
      </c>
      <c r="C19" s="44">
        <v>15</v>
      </c>
      <c r="D19" s="44"/>
      <c r="E19" s="44"/>
      <c r="F19" s="44"/>
      <c r="G19" s="44"/>
      <c r="H19" s="44"/>
      <c r="I19" s="44"/>
      <c r="J19" s="44">
        <v>2</v>
      </c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>
        <v>25</v>
      </c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>
        <v>10</v>
      </c>
      <c r="AI19" s="44"/>
      <c r="AJ19" s="44"/>
      <c r="AK19" s="44"/>
      <c r="AL19" s="44"/>
      <c r="AM19" s="44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39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</row>
    <row r="20" spans="1:14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</row>
    <row r="21" spans="1:14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</row>
    <row r="22" spans="1:142" x14ac:dyDescent="0.25">
      <c r="A22" s="6"/>
      <c r="B22" s="45" t="s">
        <v>33</v>
      </c>
      <c r="C22" s="46"/>
      <c r="D22" s="10"/>
      <c r="E22" s="4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8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</row>
    <row r="23" spans="1:142" ht="9.9499999999999993" customHeight="1" x14ac:dyDescent="0.25">
      <c r="A23" s="6"/>
      <c r="B23" s="30"/>
      <c r="C23" s="7" t="s">
        <v>0</v>
      </c>
      <c r="D23" s="18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20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22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24"/>
      <c r="DP23" s="2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</row>
    <row r="24" spans="1:142" ht="9.9499999999999993" customHeight="1" x14ac:dyDescent="0.25">
      <c r="A24" s="6"/>
      <c r="B24" s="30"/>
      <c r="C24" s="7" t="s">
        <v>1</v>
      </c>
      <c r="D24" s="23"/>
      <c r="E24" s="11"/>
      <c r="F24" s="11"/>
      <c r="G24" s="11"/>
      <c r="H24" s="18"/>
      <c r="I24" s="25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20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20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22"/>
      <c r="DO24" s="24"/>
      <c r="DP24" s="2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</row>
    <row r="25" spans="1:142" ht="9.9499999999999993" customHeight="1" x14ac:dyDescent="0.25">
      <c r="A25" s="6"/>
      <c r="B25" s="30"/>
      <c r="C25" s="7" t="s">
        <v>2</v>
      </c>
      <c r="D25" s="23"/>
      <c r="E25" s="11"/>
      <c r="F25" s="11"/>
      <c r="G25" s="11"/>
      <c r="H25" s="11"/>
      <c r="I25" s="11"/>
      <c r="J25" s="11"/>
      <c r="K25" s="11"/>
      <c r="L25" s="18"/>
      <c r="M25" s="25"/>
      <c r="N25" s="11"/>
      <c r="O25" s="20"/>
      <c r="P25" s="19"/>
      <c r="Q25" s="19"/>
      <c r="R25" s="19"/>
      <c r="S25" s="19"/>
      <c r="T25" s="19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20"/>
      <c r="BG25" s="19"/>
      <c r="BH25" s="19"/>
      <c r="BI25" s="19"/>
      <c r="BJ25" s="19"/>
      <c r="BK25" s="19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11"/>
      <c r="CL25" s="11"/>
      <c r="CM25" s="20"/>
      <c r="CN25" s="19"/>
      <c r="CO25" s="19"/>
      <c r="CP25" s="19"/>
      <c r="CQ25" s="19"/>
      <c r="CR25" s="19"/>
      <c r="CS25" s="22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24"/>
      <c r="DP25" s="2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</row>
    <row r="26" spans="1:142" ht="9.9499999999999993" customHeight="1" x14ac:dyDescent="0.25">
      <c r="A26" s="6"/>
      <c r="B26" s="30"/>
      <c r="C26" s="7" t="s">
        <v>3</v>
      </c>
      <c r="D26" s="23"/>
      <c r="E26" s="11"/>
      <c r="F26" s="11"/>
      <c r="G26" s="11"/>
      <c r="H26" s="11"/>
      <c r="I26" s="11"/>
      <c r="J26" s="11"/>
      <c r="K26" s="11"/>
      <c r="L26" s="11"/>
      <c r="M26" s="11"/>
      <c r="N26" s="18"/>
      <c r="O26" s="25"/>
      <c r="P26" s="11"/>
      <c r="Q26" s="11"/>
      <c r="R26" s="11"/>
      <c r="S26" s="11"/>
      <c r="T26" s="11"/>
      <c r="U26" s="20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20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22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24"/>
      <c r="DP26" s="2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</row>
    <row r="27" spans="1:142" x14ac:dyDescent="0.25">
      <c r="A27" s="6"/>
      <c r="B27" s="30"/>
      <c r="C27" s="8" t="s">
        <v>4</v>
      </c>
      <c r="D27" s="9">
        <v>0</v>
      </c>
      <c r="E27" s="10">
        <v>1</v>
      </c>
      <c r="F27" s="9">
        <v>2</v>
      </c>
      <c r="G27" s="10">
        <v>3</v>
      </c>
      <c r="H27" s="9">
        <v>4</v>
      </c>
      <c r="I27" s="10">
        <v>5</v>
      </c>
      <c r="J27" s="9">
        <v>6</v>
      </c>
      <c r="K27" s="10">
        <v>7</v>
      </c>
      <c r="L27" s="9">
        <v>8</v>
      </c>
      <c r="M27" s="10">
        <v>9</v>
      </c>
      <c r="N27" s="9">
        <v>10</v>
      </c>
      <c r="O27" s="10">
        <v>11</v>
      </c>
      <c r="P27" s="9">
        <v>12</v>
      </c>
      <c r="Q27" s="10">
        <v>13</v>
      </c>
      <c r="R27" s="9">
        <v>14</v>
      </c>
      <c r="S27" s="10">
        <v>15</v>
      </c>
      <c r="T27" s="9">
        <v>16</v>
      </c>
      <c r="U27" s="10">
        <v>17</v>
      </c>
      <c r="V27" s="9">
        <v>18</v>
      </c>
      <c r="W27" s="10">
        <v>19</v>
      </c>
      <c r="X27" s="9">
        <v>20</v>
      </c>
      <c r="Y27" s="10">
        <v>21</v>
      </c>
      <c r="Z27" s="9">
        <v>22</v>
      </c>
      <c r="AA27" s="10">
        <v>23</v>
      </c>
      <c r="AB27" s="9">
        <v>24</v>
      </c>
      <c r="AC27" s="10">
        <v>25</v>
      </c>
      <c r="AD27" s="9">
        <v>26</v>
      </c>
      <c r="AE27" s="10">
        <v>27</v>
      </c>
      <c r="AF27" s="9">
        <v>28</v>
      </c>
      <c r="AG27" s="10">
        <v>29</v>
      </c>
      <c r="AH27" s="9">
        <v>30</v>
      </c>
      <c r="AI27" s="10">
        <v>31</v>
      </c>
      <c r="AJ27" s="9">
        <v>32</v>
      </c>
      <c r="AK27" s="10">
        <v>33</v>
      </c>
      <c r="AL27" s="9">
        <v>34</v>
      </c>
      <c r="AM27" s="10">
        <v>35</v>
      </c>
      <c r="AN27" s="9">
        <v>36</v>
      </c>
      <c r="AO27" s="10">
        <v>37</v>
      </c>
      <c r="AP27" s="9">
        <v>38</v>
      </c>
      <c r="AQ27" s="10">
        <v>39</v>
      </c>
      <c r="AR27" s="9">
        <v>40</v>
      </c>
      <c r="AS27" s="10">
        <v>41</v>
      </c>
      <c r="AT27" s="9">
        <v>42</v>
      </c>
      <c r="AU27" s="10">
        <v>43</v>
      </c>
      <c r="AV27" s="9">
        <v>44</v>
      </c>
      <c r="AW27" s="10">
        <v>45</v>
      </c>
      <c r="AX27" s="9">
        <v>46</v>
      </c>
      <c r="AY27" s="10">
        <v>47</v>
      </c>
      <c r="AZ27" s="9">
        <v>48</v>
      </c>
      <c r="BA27" s="10">
        <v>49</v>
      </c>
      <c r="BB27" s="9">
        <v>50</v>
      </c>
      <c r="BC27" s="10">
        <v>51</v>
      </c>
      <c r="BD27" s="9">
        <v>52</v>
      </c>
      <c r="BE27" s="10">
        <v>53</v>
      </c>
      <c r="BF27" s="9">
        <v>54</v>
      </c>
      <c r="BG27" s="10">
        <v>55</v>
      </c>
      <c r="BH27" s="9">
        <v>56</v>
      </c>
      <c r="BI27" s="10">
        <v>57</v>
      </c>
      <c r="BJ27" s="9">
        <v>58</v>
      </c>
      <c r="BK27" s="10">
        <v>59</v>
      </c>
      <c r="BL27" s="9">
        <v>60</v>
      </c>
      <c r="BM27" s="10">
        <v>61</v>
      </c>
      <c r="BN27" s="9">
        <v>62</v>
      </c>
      <c r="BO27" s="10">
        <v>63</v>
      </c>
      <c r="BP27" s="9">
        <v>64</v>
      </c>
      <c r="BQ27" s="10">
        <v>65</v>
      </c>
      <c r="BR27" s="9">
        <v>66</v>
      </c>
      <c r="BS27" s="10">
        <v>67</v>
      </c>
      <c r="BT27" s="9">
        <v>68</v>
      </c>
      <c r="BU27" s="10">
        <v>69</v>
      </c>
      <c r="BV27" s="9">
        <v>70</v>
      </c>
      <c r="BW27" s="10">
        <v>71</v>
      </c>
      <c r="BX27" s="9">
        <v>72</v>
      </c>
      <c r="BY27" s="10">
        <v>73</v>
      </c>
      <c r="BZ27" s="9">
        <v>74</v>
      </c>
      <c r="CA27" s="10">
        <v>75</v>
      </c>
      <c r="CB27" s="9">
        <v>76</v>
      </c>
      <c r="CC27" s="10">
        <v>77</v>
      </c>
      <c r="CD27" s="9">
        <v>78</v>
      </c>
      <c r="CE27" s="10">
        <v>79</v>
      </c>
      <c r="CF27" s="9">
        <v>80</v>
      </c>
      <c r="CG27" s="10">
        <v>81</v>
      </c>
      <c r="CH27" s="9">
        <v>82</v>
      </c>
      <c r="CI27" s="10">
        <v>83</v>
      </c>
      <c r="CJ27" s="9">
        <v>84</v>
      </c>
      <c r="CK27" s="10">
        <v>85</v>
      </c>
      <c r="CL27" s="9">
        <v>86</v>
      </c>
      <c r="CM27" s="10">
        <v>87</v>
      </c>
      <c r="CN27" s="9">
        <v>88</v>
      </c>
      <c r="CO27" s="10">
        <v>89</v>
      </c>
      <c r="CP27" s="9">
        <v>90</v>
      </c>
      <c r="CQ27" s="10">
        <v>91</v>
      </c>
      <c r="CR27" s="9">
        <v>92</v>
      </c>
      <c r="CS27" s="10">
        <v>93</v>
      </c>
      <c r="CT27" s="9">
        <v>94</v>
      </c>
      <c r="CU27" s="10">
        <v>95</v>
      </c>
      <c r="CV27" s="9">
        <v>96</v>
      </c>
      <c r="CW27" s="10">
        <v>97</v>
      </c>
      <c r="CX27" s="9">
        <v>98</v>
      </c>
      <c r="CY27" s="10">
        <v>99</v>
      </c>
      <c r="CZ27" s="9">
        <v>100</v>
      </c>
      <c r="DA27" s="10">
        <v>101</v>
      </c>
      <c r="DB27" s="9">
        <v>102</v>
      </c>
      <c r="DC27" s="10">
        <v>103</v>
      </c>
      <c r="DD27" s="9">
        <v>104</v>
      </c>
      <c r="DE27" s="10">
        <v>105</v>
      </c>
      <c r="DF27" s="9">
        <v>106</v>
      </c>
      <c r="DG27" s="10">
        <v>107</v>
      </c>
      <c r="DH27" s="9">
        <v>108</v>
      </c>
      <c r="DI27" s="10">
        <v>109</v>
      </c>
      <c r="DJ27" s="9">
        <v>110</v>
      </c>
      <c r="DK27" s="10">
        <v>111</v>
      </c>
      <c r="DL27" s="9">
        <v>112</v>
      </c>
      <c r="DM27" s="10">
        <v>113</v>
      </c>
      <c r="DN27" s="9">
        <v>114</v>
      </c>
      <c r="DO27" s="10">
        <v>115</v>
      </c>
      <c r="DP27" s="41">
        <v>116</v>
      </c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</row>
    <row r="28" spans="1:142" x14ac:dyDescent="0.25">
      <c r="A28" s="6"/>
      <c r="B28" s="3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7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</row>
    <row r="29" spans="1:142" x14ac:dyDescent="0.25">
      <c r="A29" s="6"/>
      <c r="B29" s="30"/>
      <c r="C29" s="11"/>
      <c r="D29" s="43" t="s">
        <v>16</v>
      </c>
      <c r="E29" s="43"/>
      <c r="F29" s="43"/>
      <c r="G29" s="43" t="s">
        <v>43</v>
      </c>
      <c r="H29" s="43"/>
      <c r="I29" s="43"/>
      <c r="J29" s="43">
        <v>71</v>
      </c>
      <c r="K29" s="43"/>
      <c r="L29" s="43"/>
      <c r="M29" s="11"/>
      <c r="N29" s="11"/>
      <c r="O29" s="11"/>
      <c r="P29" s="43" t="s">
        <v>20</v>
      </c>
      <c r="Q29" s="43"/>
      <c r="R29" s="43"/>
      <c r="S29" s="43"/>
      <c r="T29" s="43"/>
      <c r="U29" s="43"/>
      <c r="V29" s="43"/>
      <c r="W29" s="43"/>
      <c r="X29" s="43"/>
      <c r="Y29" s="43" t="s">
        <v>47</v>
      </c>
      <c r="Z29" s="43"/>
      <c r="AA29" s="43"/>
      <c r="AB29" s="43">
        <f>71/20</f>
        <v>3.55</v>
      </c>
      <c r="AC29" s="43"/>
      <c r="AD29" s="43"/>
      <c r="AE29" s="11"/>
      <c r="AF29" s="11"/>
      <c r="AG29" s="43" t="s">
        <v>25</v>
      </c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11"/>
      <c r="AT29" s="43" t="s">
        <v>51</v>
      </c>
      <c r="AU29" s="43"/>
      <c r="AV29" s="43"/>
      <c r="AW29" s="43"/>
      <c r="AX29" s="43"/>
      <c r="AY29" s="43"/>
      <c r="AZ29" s="43"/>
      <c r="BA29" s="11"/>
      <c r="BB29" s="43">
        <f>(72+115+94+88)/4</f>
        <v>92.25</v>
      </c>
      <c r="BC29" s="43"/>
      <c r="BD29" s="43"/>
      <c r="BE29" s="43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7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</row>
    <row r="30" spans="1:142" x14ac:dyDescent="0.25">
      <c r="A30" s="6"/>
      <c r="B30" s="30"/>
      <c r="C30" s="11"/>
      <c r="D30" s="43" t="s">
        <v>17</v>
      </c>
      <c r="E30" s="43"/>
      <c r="F30" s="43"/>
      <c r="G30" s="43" t="s">
        <v>44</v>
      </c>
      <c r="H30" s="43"/>
      <c r="I30" s="43"/>
      <c r="J30" s="43">
        <v>110</v>
      </c>
      <c r="K30" s="43"/>
      <c r="L30" s="43"/>
      <c r="M30" s="11"/>
      <c r="N30" s="11"/>
      <c r="O30" s="11"/>
      <c r="P30" s="43" t="s">
        <v>21</v>
      </c>
      <c r="Q30" s="43"/>
      <c r="R30" s="43"/>
      <c r="S30" s="43"/>
      <c r="T30" s="43"/>
      <c r="U30" s="43"/>
      <c r="V30" s="43"/>
      <c r="W30" s="43"/>
      <c r="X30" s="43"/>
      <c r="Y30" s="43" t="s">
        <v>48</v>
      </c>
      <c r="Z30" s="43"/>
      <c r="AA30" s="43"/>
      <c r="AB30" s="43">
        <f>110/40</f>
        <v>2.75</v>
      </c>
      <c r="AC30" s="43"/>
      <c r="AD30" s="43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7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</row>
    <row r="31" spans="1:142" x14ac:dyDescent="0.25">
      <c r="A31" s="6"/>
      <c r="B31" s="30"/>
      <c r="C31" s="11"/>
      <c r="D31" s="43" t="s">
        <v>18</v>
      </c>
      <c r="E31" s="43"/>
      <c r="F31" s="43"/>
      <c r="G31" s="43" t="s">
        <v>45</v>
      </c>
      <c r="H31" s="43"/>
      <c r="I31" s="43"/>
      <c r="J31" s="43">
        <v>85</v>
      </c>
      <c r="K31" s="43"/>
      <c r="L31" s="43"/>
      <c r="M31" s="11"/>
      <c r="N31" s="11"/>
      <c r="O31" s="11"/>
      <c r="P31" s="43" t="s">
        <v>22</v>
      </c>
      <c r="Q31" s="43"/>
      <c r="R31" s="43"/>
      <c r="S31" s="43"/>
      <c r="T31" s="43"/>
      <c r="U31" s="43"/>
      <c r="V31" s="43"/>
      <c r="W31" s="43"/>
      <c r="X31" s="43"/>
      <c r="Y31" s="43" t="s">
        <v>49</v>
      </c>
      <c r="Z31" s="43"/>
      <c r="AA31" s="43"/>
      <c r="AB31" s="43">
        <f>85/15</f>
        <v>5.666666666666667</v>
      </c>
      <c r="AC31" s="43"/>
      <c r="AD31" s="43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7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</row>
    <row r="32" spans="1:142" x14ac:dyDescent="0.25">
      <c r="A32" s="6"/>
      <c r="B32" s="30"/>
      <c r="C32" s="11"/>
      <c r="D32" s="43" t="s">
        <v>19</v>
      </c>
      <c r="E32" s="43"/>
      <c r="F32" s="43"/>
      <c r="G32" s="43" t="s">
        <v>46</v>
      </c>
      <c r="H32" s="43"/>
      <c r="I32" s="43"/>
      <c r="J32" s="43">
        <v>77</v>
      </c>
      <c r="K32" s="43"/>
      <c r="L32" s="43"/>
      <c r="M32" s="11"/>
      <c r="N32" s="11"/>
      <c r="O32" s="11"/>
      <c r="P32" s="43" t="s">
        <v>23</v>
      </c>
      <c r="Q32" s="43"/>
      <c r="R32" s="43"/>
      <c r="S32" s="43"/>
      <c r="T32" s="43"/>
      <c r="U32" s="43"/>
      <c r="V32" s="43"/>
      <c r="W32" s="43"/>
      <c r="X32" s="43"/>
      <c r="Y32" s="43" t="s">
        <v>50</v>
      </c>
      <c r="Z32" s="43"/>
      <c r="AA32" s="43"/>
      <c r="AB32" s="43">
        <f>77/30</f>
        <v>2.5666666666666669</v>
      </c>
      <c r="AC32" s="43"/>
      <c r="AD32" s="43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43" t="s">
        <v>26</v>
      </c>
      <c r="AT32" s="43"/>
      <c r="AU32" s="43"/>
      <c r="AV32" s="43"/>
      <c r="AW32" s="43"/>
      <c r="AX32" s="43"/>
      <c r="AY32" s="43">
        <v>24</v>
      </c>
      <c r="AZ32" s="43"/>
      <c r="BA32" s="43"/>
      <c r="BB32" s="11">
        <v>24</v>
      </c>
      <c r="BC32" s="11"/>
      <c r="BD32" s="11"/>
      <c r="BE32" s="11"/>
      <c r="BF32" s="11"/>
      <c r="BG32" s="43" t="s">
        <v>30</v>
      </c>
      <c r="BH32" s="43"/>
      <c r="BI32" s="43"/>
      <c r="BJ32" s="43"/>
      <c r="BK32" s="43"/>
      <c r="BL32" s="43"/>
      <c r="BM32" s="43"/>
      <c r="BN32" s="43"/>
      <c r="BO32" s="43"/>
      <c r="BP32" s="11"/>
      <c r="BQ32" s="43" t="s">
        <v>34</v>
      </c>
      <c r="BR32" s="43"/>
      <c r="BS32" s="43"/>
      <c r="BT32" s="43"/>
      <c r="BU32" s="43"/>
      <c r="BV32" s="43"/>
      <c r="BW32" s="11"/>
      <c r="BX32" s="43">
        <f>(24+41+15+18)/4</f>
        <v>24.5</v>
      </c>
      <c r="BY32" s="43"/>
      <c r="BZ32" s="43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7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</row>
    <row r="33" spans="1:208" x14ac:dyDescent="0.25">
      <c r="A33" s="6"/>
      <c r="B33" s="3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43" t="s">
        <v>27</v>
      </c>
      <c r="AT33" s="43"/>
      <c r="AU33" s="43"/>
      <c r="AV33" s="43"/>
      <c r="AW33" s="43"/>
      <c r="AX33" s="43"/>
      <c r="AY33" s="43" t="s">
        <v>82</v>
      </c>
      <c r="AZ33" s="43"/>
      <c r="BA33" s="43"/>
      <c r="BB33" s="11">
        <v>42</v>
      </c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7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</row>
    <row r="34" spans="1:208" x14ac:dyDescent="0.25">
      <c r="A34" s="6"/>
      <c r="B34" s="30"/>
      <c r="C34" s="11"/>
      <c r="D34" s="11"/>
      <c r="E34" s="11"/>
      <c r="F34" s="11"/>
      <c r="G34" s="11"/>
      <c r="H34" s="11"/>
      <c r="I34" s="11"/>
      <c r="J34" s="11"/>
      <c r="K34" s="11"/>
      <c r="L34" s="43" t="s">
        <v>96</v>
      </c>
      <c r="M34" s="43"/>
      <c r="N34" s="43"/>
      <c r="O34" s="43"/>
      <c r="P34" s="43"/>
      <c r="Q34" s="11">
        <v>1</v>
      </c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43" t="s">
        <v>28</v>
      </c>
      <c r="AT34" s="43"/>
      <c r="AU34" s="43"/>
      <c r="AV34" s="43"/>
      <c r="AW34" s="43"/>
      <c r="AX34" s="43"/>
      <c r="AY34" s="43" t="s">
        <v>83</v>
      </c>
      <c r="AZ34" s="43"/>
      <c r="BA34" s="43"/>
      <c r="BB34" s="11">
        <v>16</v>
      </c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7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</row>
    <row r="35" spans="1:208" x14ac:dyDescent="0.25">
      <c r="A35" s="6"/>
      <c r="B35" s="3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44" t="s">
        <v>29</v>
      </c>
      <c r="AT35" s="44"/>
      <c r="AU35" s="44"/>
      <c r="AV35" s="44"/>
      <c r="AW35" s="44"/>
      <c r="AX35" s="44"/>
      <c r="AY35" s="44" t="s">
        <v>84</v>
      </c>
      <c r="AZ35" s="44"/>
      <c r="BA35" s="44"/>
      <c r="BB35" s="28">
        <v>19</v>
      </c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39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</row>
    <row r="36" spans="1:208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</row>
    <row r="37" spans="1:208" x14ac:dyDescent="0.25">
      <c r="A37" s="4"/>
      <c r="B37" s="46" t="s">
        <v>52</v>
      </c>
      <c r="C37" s="46"/>
      <c r="D37" s="5"/>
      <c r="E37" s="40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3"/>
    </row>
    <row r="38" spans="1:208" ht="9.9499999999999993" customHeight="1" x14ac:dyDescent="0.25">
      <c r="A38" s="17" t="s">
        <v>53</v>
      </c>
      <c r="B38" s="12"/>
      <c r="C38" s="14" t="s">
        <v>0</v>
      </c>
      <c r="D38" s="18"/>
      <c r="E38" s="19"/>
      <c r="F38" s="19"/>
      <c r="G38" s="19"/>
      <c r="H38" s="19"/>
      <c r="I38" s="12"/>
      <c r="J38" s="12"/>
      <c r="K38" s="20"/>
      <c r="L38" s="19"/>
      <c r="M38" s="12"/>
      <c r="N38" s="12"/>
      <c r="O38" s="12"/>
      <c r="P38" s="12"/>
      <c r="Q38" s="20"/>
      <c r="R38" s="19"/>
      <c r="S38" s="12"/>
      <c r="T38" s="12"/>
      <c r="U38" s="12"/>
      <c r="V38" s="12"/>
      <c r="W38" s="12"/>
      <c r="X38" s="12"/>
      <c r="Y38" s="20"/>
      <c r="Z38" s="19"/>
      <c r="AA38" s="12"/>
      <c r="AB38" s="12"/>
      <c r="AC38" s="12"/>
      <c r="AD38" s="12"/>
      <c r="AE38" s="12"/>
      <c r="AF38" s="12"/>
      <c r="AG38" s="20"/>
      <c r="AH38" s="19"/>
      <c r="AI38" s="12"/>
      <c r="AJ38" s="12"/>
      <c r="AK38" s="12"/>
      <c r="AL38" s="12"/>
      <c r="AM38" s="12"/>
      <c r="AN38" s="12"/>
      <c r="AO38" s="20"/>
      <c r="AP38" s="19"/>
      <c r="AQ38" s="23"/>
      <c r="AR38" s="23"/>
      <c r="AS38" s="23"/>
      <c r="AT38" s="23"/>
      <c r="AU38" s="23"/>
      <c r="AV38" s="23"/>
      <c r="AW38" s="20"/>
      <c r="AX38" s="19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12"/>
      <c r="BY38" s="12"/>
      <c r="BZ38" s="12"/>
      <c r="CA38" s="12"/>
      <c r="CB38" s="12"/>
      <c r="CC38" s="20"/>
      <c r="CD38" s="19"/>
      <c r="CE38" s="12"/>
      <c r="CF38" s="12"/>
      <c r="CG38" s="23"/>
      <c r="CH38" s="23"/>
      <c r="CI38" s="12"/>
      <c r="CJ38" s="12"/>
      <c r="CK38" s="20"/>
      <c r="CL38" s="19"/>
      <c r="CM38" s="12"/>
      <c r="CN38" s="12"/>
      <c r="CO38" s="23"/>
      <c r="CP38" s="23"/>
      <c r="CQ38" s="12"/>
      <c r="CR38" s="12"/>
      <c r="CS38" s="20"/>
      <c r="CT38" s="19"/>
      <c r="CU38" s="12"/>
      <c r="CV38" s="12"/>
      <c r="CW38" s="23"/>
      <c r="CX38" s="23"/>
      <c r="CY38" s="12"/>
      <c r="CZ38" s="12"/>
      <c r="DA38" s="20"/>
      <c r="DB38" s="19"/>
      <c r="DC38" s="12"/>
      <c r="DD38" s="12"/>
      <c r="DE38" s="23"/>
      <c r="DF38" s="23"/>
      <c r="DG38" s="12"/>
      <c r="DH38" s="12"/>
      <c r="DI38" s="20"/>
      <c r="DJ38" s="19"/>
      <c r="DK38" s="12"/>
      <c r="DL38" s="12"/>
      <c r="DM38" s="20"/>
      <c r="DN38" s="19"/>
      <c r="DO38" s="12"/>
      <c r="DP38" s="12"/>
      <c r="DQ38" s="20"/>
      <c r="DR38" s="19"/>
      <c r="DS38" s="12"/>
      <c r="DT38" s="23"/>
      <c r="DU38" s="20"/>
      <c r="DV38" s="19"/>
      <c r="DW38" s="19"/>
      <c r="DX38" s="19"/>
      <c r="DY38" s="22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/>
      <c r="EL38" s="23"/>
      <c r="EM38" s="23"/>
      <c r="EN38" s="23"/>
      <c r="EO38" s="23"/>
      <c r="EP38" s="23"/>
      <c r="EQ38" s="23"/>
      <c r="ER38" s="23"/>
      <c r="ES38" s="23"/>
      <c r="ET38" s="23"/>
      <c r="EU38" s="23"/>
      <c r="EV38" s="23"/>
      <c r="EW38" s="23"/>
      <c r="EX38" s="23"/>
      <c r="EY38" s="23"/>
      <c r="EZ38" s="23"/>
      <c r="FA38" s="23"/>
      <c r="FB38" s="23"/>
      <c r="FC38" s="23"/>
      <c r="FD38" s="23"/>
      <c r="FE38" s="23"/>
      <c r="FF38" s="23"/>
      <c r="FG38" s="23"/>
      <c r="FH38" s="23"/>
      <c r="FI38" s="23"/>
      <c r="FJ38" s="23"/>
      <c r="FK38" s="23"/>
      <c r="FL38" s="23"/>
      <c r="FM38" s="23"/>
      <c r="FN38" s="23"/>
      <c r="FO38" s="23"/>
      <c r="FP38" s="23"/>
      <c r="FQ38" s="23"/>
      <c r="FR38" s="23"/>
      <c r="FS38" s="23"/>
      <c r="FT38" s="23"/>
      <c r="FU38" s="23"/>
      <c r="FV38" s="23"/>
      <c r="FW38" s="23"/>
      <c r="FX38" s="23"/>
      <c r="FY38" s="23"/>
      <c r="FZ38" s="23"/>
      <c r="GA38" s="23"/>
      <c r="GB38" s="23"/>
      <c r="GC38" s="23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4"/>
      <c r="GY38" s="23"/>
      <c r="GZ38" s="2"/>
    </row>
    <row r="39" spans="1:208" ht="9.9499999999999993" customHeight="1" x14ac:dyDescent="0.25">
      <c r="A39" s="17"/>
      <c r="B39" s="12"/>
      <c r="C39" s="14" t="s">
        <v>1</v>
      </c>
      <c r="D39" s="12"/>
      <c r="E39" s="12"/>
      <c r="F39" s="12"/>
      <c r="G39" s="12"/>
      <c r="H39" s="18"/>
      <c r="I39" s="20"/>
      <c r="J39" s="19"/>
      <c r="K39" s="12"/>
      <c r="L39" s="12"/>
      <c r="M39" s="20"/>
      <c r="N39" s="19"/>
      <c r="O39" s="12"/>
      <c r="P39" s="12"/>
      <c r="Q39" s="12"/>
      <c r="R39" s="12"/>
      <c r="S39" s="23"/>
      <c r="T39" s="23"/>
      <c r="U39" s="20"/>
      <c r="V39" s="19"/>
      <c r="W39" s="12"/>
      <c r="X39" s="12"/>
      <c r="Y39" s="12"/>
      <c r="Z39" s="12"/>
      <c r="AA39" s="23"/>
      <c r="AB39" s="23"/>
      <c r="AC39" s="20"/>
      <c r="AD39" s="19"/>
      <c r="AE39" s="12"/>
      <c r="AF39" s="12"/>
      <c r="AG39" s="12"/>
      <c r="AH39" s="12"/>
      <c r="AI39" s="23"/>
      <c r="AJ39" s="23"/>
      <c r="AK39" s="20"/>
      <c r="AL39" s="19"/>
      <c r="AM39" s="12"/>
      <c r="AN39" s="12"/>
      <c r="AO39" s="12"/>
      <c r="AP39" s="12"/>
      <c r="AQ39" s="23"/>
      <c r="AR39" s="23"/>
      <c r="AS39" s="20"/>
      <c r="AT39" s="19"/>
      <c r="AU39" s="12"/>
      <c r="AV39" s="12"/>
      <c r="AW39" s="12"/>
      <c r="AX39" s="12"/>
      <c r="AY39" s="23"/>
      <c r="AZ39" s="23"/>
      <c r="BA39" s="20"/>
      <c r="BB39" s="19"/>
      <c r="BC39" s="12"/>
      <c r="BD39" s="12"/>
      <c r="BE39" s="20"/>
      <c r="BF39" s="19"/>
      <c r="BG39" s="12"/>
      <c r="BH39" s="12"/>
      <c r="BI39" s="20"/>
      <c r="BJ39" s="19"/>
      <c r="BK39" s="12"/>
      <c r="BL39" s="12"/>
      <c r="BM39" s="20"/>
      <c r="BN39" s="19"/>
      <c r="BO39" s="12"/>
      <c r="BP39" s="12"/>
      <c r="BQ39" s="20"/>
      <c r="BR39" s="19"/>
      <c r="BS39" s="12"/>
      <c r="BT39" s="12"/>
      <c r="BU39" s="20"/>
      <c r="BV39" s="19"/>
      <c r="BW39" s="12"/>
      <c r="BX39" s="12"/>
      <c r="BY39" s="12"/>
      <c r="BZ39" s="12"/>
      <c r="CA39" s="20"/>
      <c r="CB39" s="19"/>
      <c r="CC39" s="23"/>
      <c r="CD39" s="23"/>
      <c r="CE39" s="12"/>
      <c r="CF39" s="12"/>
      <c r="CG39" s="12"/>
      <c r="CH39" s="12"/>
      <c r="CI39" s="20"/>
      <c r="CJ39" s="19"/>
      <c r="CK39" s="23"/>
      <c r="CL39" s="23"/>
      <c r="CM39" s="12"/>
      <c r="CN39" s="12"/>
      <c r="CO39" s="12"/>
      <c r="CP39" s="12"/>
      <c r="CQ39" s="20"/>
      <c r="CR39" s="19"/>
      <c r="CS39" s="23"/>
      <c r="CT39" s="23"/>
      <c r="CU39" s="12"/>
      <c r="CV39" s="12"/>
      <c r="CW39" s="12"/>
      <c r="CX39" s="12"/>
      <c r="CY39" s="20"/>
      <c r="CZ39" s="19"/>
      <c r="DA39" s="23"/>
      <c r="DB39" s="23"/>
      <c r="DC39" s="12"/>
      <c r="DD39" s="12"/>
      <c r="DE39" s="12"/>
      <c r="DF39" s="12"/>
      <c r="DG39" s="20"/>
      <c r="DH39" s="19"/>
      <c r="DI39" s="12"/>
      <c r="DJ39" s="12"/>
      <c r="DK39" s="20"/>
      <c r="DL39" s="19"/>
      <c r="DM39" s="12"/>
      <c r="DN39" s="12"/>
      <c r="DO39" s="20"/>
      <c r="DP39" s="19"/>
      <c r="DQ39" s="12"/>
      <c r="DR39" s="12"/>
      <c r="DS39" s="20"/>
      <c r="DT39" s="19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3"/>
      <c r="EU39" s="23"/>
      <c r="EV39" s="20"/>
      <c r="EW39" s="19"/>
      <c r="EX39" s="23"/>
      <c r="EY39" s="23"/>
      <c r="EZ39" s="23"/>
      <c r="FA39" s="23"/>
      <c r="FB39" s="20"/>
      <c r="FC39" s="19"/>
      <c r="FD39" s="23"/>
      <c r="FE39" s="23"/>
      <c r="FF39" s="20"/>
      <c r="FG39" s="19"/>
      <c r="FH39" s="23"/>
      <c r="FI39" s="23"/>
      <c r="FJ39" s="20"/>
      <c r="FK39" s="19"/>
      <c r="FL39" s="23"/>
      <c r="FM39" s="23"/>
      <c r="FN39" s="20"/>
      <c r="FO39" s="19"/>
      <c r="FP39" s="23"/>
      <c r="FQ39" s="23"/>
      <c r="FR39" s="20"/>
      <c r="FS39" s="19"/>
      <c r="FT39" s="23"/>
      <c r="FU39" s="23"/>
      <c r="FV39" s="20"/>
      <c r="FW39" s="19"/>
      <c r="FX39" s="23"/>
      <c r="FY39" s="23"/>
      <c r="FZ39" s="20"/>
      <c r="GA39" s="19"/>
      <c r="GB39" s="23"/>
      <c r="GC39" s="23"/>
      <c r="GD39" s="20"/>
      <c r="GE39" s="19"/>
      <c r="GF39" s="23"/>
      <c r="GG39" s="23"/>
      <c r="GH39" s="20"/>
      <c r="GI39" s="19"/>
      <c r="GJ39" s="23"/>
      <c r="GK39" s="23"/>
      <c r="GL39" s="20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22"/>
      <c r="GX39" s="24"/>
      <c r="GY39" s="23"/>
      <c r="GZ39" s="2"/>
    </row>
    <row r="40" spans="1:208" ht="9.9499999999999993" customHeight="1" x14ac:dyDescent="0.25">
      <c r="A40" s="17"/>
      <c r="B40" s="12"/>
      <c r="C40" s="14" t="s">
        <v>2</v>
      </c>
      <c r="D40" s="12"/>
      <c r="E40" s="12"/>
      <c r="F40" s="12"/>
      <c r="G40" s="12"/>
      <c r="H40" s="12"/>
      <c r="I40" s="12"/>
      <c r="J40" s="12"/>
      <c r="K40" s="23"/>
      <c r="L40" s="18"/>
      <c r="M40" s="25"/>
      <c r="N40" s="23"/>
      <c r="O40" s="20"/>
      <c r="P40" s="19"/>
      <c r="Q40" s="12"/>
      <c r="R40" s="12"/>
      <c r="S40" s="12"/>
      <c r="T40" s="12"/>
      <c r="U40" s="23"/>
      <c r="V40" s="23"/>
      <c r="W40" s="20"/>
      <c r="X40" s="19"/>
      <c r="Y40" s="12"/>
      <c r="Z40" s="12"/>
      <c r="AA40" s="12"/>
      <c r="AB40" s="12"/>
      <c r="AC40" s="23"/>
      <c r="AD40" s="23"/>
      <c r="AE40" s="20"/>
      <c r="AF40" s="19"/>
      <c r="AG40" s="12"/>
      <c r="AH40" s="12"/>
      <c r="AI40" s="12"/>
      <c r="AJ40" s="12"/>
      <c r="AK40" s="23"/>
      <c r="AL40" s="23"/>
      <c r="AM40" s="20"/>
      <c r="AN40" s="19"/>
      <c r="AO40" s="12"/>
      <c r="AP40" s="12"/>
      <c r="AQ40" s="12"/>
      <c r="AR40" s="12"/>
      <c r="AS40" s="23"/>
      <c r="AT40" s="23"/>
      <c r="AU40" s="20"/>
      <c r="AV40" s="19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12"/>
      <c r="BW40" s="12"/>
      <c r="BX40" s="12"/>
      <c r="BY40" s="20"/>
      <c r="BZ40" s="19"/>
      <c r="CA40" s="12"/>
      <c r="CB40" s="12"/>
      <c r="CC40" s="23"/>
      <c r="CD40" s="23"/>
      <c r="CE40" s="12"/>
      <c r="CF40" s="12"/>
      <c r="CG40" s="20"/>
      <c r="CH40" s="19"/>
      <c r="CI40" s="12"/>
      <c r="CJ40" s="12"/>
      <c r="CK40" s="23"/>
      <c r="CL40" s="23"/>
      <c r="CM40" s="12"/>
      <c r="CN40" s="12"/>
      <c r="CO40" s="20"/>
      <c r="CP40" s="19"/>
      <c r="CQ40" s="12"/>
      <c r="CR40" s="12"/>
      <c r="CS40" s="23"/>
      <c r="CT40" s="23"/>
      <c r="CU40" s="12"/>
      <c r="CV40" s="12"/>
      <c r="CW40" s="20"/>
      <c r="CX40" s="19"/>
      <c r="CY40" s="12"/>
      <c r="CZ40" s="12"/>
      <c r="DA40" s="23"/>
      <c r="DB40" s="23"/>
      <c r="DC40" s="12"/>
      <c r="DD40" s="12"/>
      <c r="DE40" s="20"/>
      <c r="DF40" s="19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0"/>
      <c r="EG40" s="19"/>
      <c r="EH40" s="23"/>
      <c r="EI40" s="23"/>
      <c r="EJ40" s="20"/>
      <c r="EK40" s="19"/>
      <c r="EL40" s="23"/>
      <c r="EM40" s="23"/>
      <c r="EN40" s="20"/>
      <c r="EO40" s="19"/>
      <c r="EP40" s="23"/>
      <c r="EQ40" s="23"/>
      <c r="ER40" s="20"/>
      <c r="ES40" s="19"/>
      <c r="ET40" s="23"/>
      <c r="EU40" s="23"/>
      <c r="EV40" s="23"/>
      <c r="EW40" s="23"/>
      <c r="EX40" s="20"/>
      <c r="EY40" s="19"/>
      <c r="EZ40" s="22"/>
      <c r="FA40" s="23"/>
      <c r="FB40" s="23"/>
      <c r="FC40" s="23"/>
      <c r="FD40" s="23"/>
      <c r="FE40" s="23"/>
      <c r="FF40" s="23"/>
      <c r="FG40" s="23"/>
      <c r="FH40" s="23"/>
      <c r="FI40" s="23"/>
      <c r="FJ40" s="23"/>
      <c r="FK40" s="23"/>
      <c r="FL40" s="23"/>
      <c r="FM40" s="23"/>
      <c r="FN40" s="23"/>
      <c r="FO40" s="23"/>
      <c r="FP40" s="23"/>
      <c r="FQ40" s="23"/>
      <c r="FR40" s="23"/>
      <c r="FS40" s="23"/>
      <c r="FT40" s="23"/>
      <c r="FU40" s="23"/>
      <c r="FV40" s="23"/>
      <c r="FW40" s="23"/>
      <c r="FX40" s="23"/>
      <c r="FY40" s="23"/>
      <c r="FZ40" s="23"/>
      <c r="GA40" s="23"/>
      <c r="GB40" s="23"/>
      <c r="GC40" s="23"/>
      <c r="GD40" s="23"/>
      <c r="GE40" s="23"/>
      <c r="GF40" s="23"/>
      <c r="GG40" s="23"/>
      <c r="GH40" s="23"/>
      <c r="GI40" s="23"/>
      <c r="GJ40" s="23"/>
      <c r="GK40" s="23"/>
      <c r="GL40" s="23"/>
      <c r="GM40" s="23"/>
      <c r="GN40" s="23"/>
      <c r="GO40" s="23"/>
      <c r="GP40" s="23"/>
      <c r="GQ40" s="23"/>
      <c r="GR40" s="23"/>
      <c r="GS40" s="23"/>
      <c r="GT40" s="23"/>
      <c r="GU40" s="23"/>
      <c r="GV40" s="23"/>
      <c r="GW40" s="23"/>
      <c r="GX40" s="24"/>
      <c r="GY40" s="23"/>
      <c r="GZ40" s="2"/>
    </row>
    <row r="41" spans="1:208" ht="9.9499999999999993" customHeight="1" x14ac:dyDescent="0.25">
      <c r="A41" s="17"/>
      <c r="B41" s="12"/>
      <c r="C41" s="14" t="s">
        <v>3</v>
      </c>
      <c r="D41" s="12"/>
      <c r="E41" s="12"/>
      <c r="F41" s="12"/>
      <c r="G41" s="12"/>
      <c r="H41" s="12"/>
      <c r="I41" s="12"/>
      <c r="J41" s="12"/>
      <c r="K41" s="23"/>
      <c r="L41" s="12"/>
      <c r="M41" s="12"/>
      <c r="N41" s="18"/>
      <c r="O41" s="25"/>
      <c r="P41" s="23"/>
      <c r="Q41" s="12"/>
      <c r="R41" s="12"/>
      <c r="S41" s="20"/>
      <c r="T41" s="19"/>
      <c r="U41" s="12"/>
      <c r="V41" s="12"/>
      <c r="W41" s="23"/>
      <c r="X41" s="23"/>
      <c r="Y41" s="12"/>
      <c r="Z41" s="12"/>
      <c r="AA41" s="20"/>
      <c r="AB41" s="19"/>
      <c r="AC41" s="12"/>
      <c r="AD41" s="12"/>
      <c r="AE41" s="23"/>
      <c r="AF41" s="23"/>
      <c r="AG41" s="12"/>
      <c r="AH41" s="12"/>
      <c r="AI41" s="20"/>
      <c r="AJ41" s="19"/>
      <c r="AK41" s="12"/>
      <c r="AL41" s="12"/>
      <c r="AM41" s="23"/>
      <c r="AN41" s="23"/>
      <c r="AO41" s="12"/>
      <c r="AP41" s="12"/>
      <c r="AQ41" s="20"/>
      <c r="AR41" s="19"/>
      <c r="AS41" s="12"/>
      <c r="AT41" s="12"/>
      <c r="AU41" s="23"/>
      <c r="AV41" s="23"/>
      <c r="AW41" s="23"/>
      <c r="AX41" s="23"/>
      <c r="AY41" s="20"/>
      <c r="AZ41" s="19"/>
      <c r="BA41" s="12"/>
      <c r="BB41" s="12"/>
      <c r="BC41" s="20"/>
      <c r="BD41" s="19"/>
      <c r="BE41" s="12"/>
      <c r="BF41" s="12"/>
      <c r="BG41" s="20"/>
      <c r="BH41" s="19"/>
      <c r="BI41" s="12"/>
      <c r="BJ41" s="12"/>
      <c r="BK41" s="20"/>
      <c r="BL41" s="19"/>
      <c r="BM41" s="12"/>
      <c r="BN41" s="12"/>
      <c r="BO41" s="20"/>
      <c r="BP41" s="19"/>
      <c r="BQ41" s="23"/>
      <c r="BR41" s="23"/>
      <c r="BS41" s="20"/>
      <c r="BT41" s="19"/>
      <c r="BU41" s="12"/>
      <c r="BV41" s="12"/>
      <c r="BW41" s="20"/>
      <c r="BX41" s="19"/>
      <c r="BY41" s="12"/>
      <c r="BZ41" s="12"/>
      <c r="CA41" s="12"/>
      <c r="CB41" s="12"/>
      <c r="CC41" s="12"/>
      <c r="CD41" s="12"/>
      <c r="CE41" s="20"/>
      <c r="CF41" s="19"/>
      <c r="CG41" s="12"/>
      <c r="CH41" s="12"/>
      <c r="CI41" s="12"/>
      <c r="CJ41" s="12"/>
      <c r="CK41" s="12"/>
      <c r="CL41" s="12"/>
      <c r="CM41" s="20"/>
      <c r="CN41" s="19"/>
      <c r="CO41" s="12"/>
      <c r="CP41" s="12"/>
      <c r="CQ41" s="12"/>
      <c r="CR41" s="12"/>
      <c r="CS41" s="12"/>
      <c r="CT41" s="12"/>
      <c r="CU41" s="20"/>
      <c r="CV41" s="19"/>
      <c r="CW41" s="12"/>
      <c r="CX41" s="12"/>
      <c r="CY41" s="12"/>
      <c r="CZ41" s="12"/>
      <c r="DA41" s="12"/>
      <c r="DB41" s="12"/>
      <c r="DC41" s="20"/>
      <c r="DD41" s="19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0"/>
      <c r="EE41" s="19"/>
      <c r="EF41" s="23"/>
      <c r="EG41" s="23"/>
      <c r="EH41" s="20"/>
      <c r="EI41" s="19"/>
      <c r="EJ41" s="23"/>
      <c r="EK41" s="23"/>
      <c r="EL41" s="20"/>
      <c r="EM41" s="19"/>
      <c r="EN41" s="23"/>
      <c r="EO41" s="23"/>
      <c r="EP41" s="20"/>
      <c r="EQ41" s="19"/>
      <c r="ER41" s="23"/>
      <c r="ES41" s="23"/>
      <c r="ET41" s="20"/>
      <c r="EU41" s="19"/>
      <c r="EV41" s="23"/>
      <c r="EW41" s="23"/>
      <c r="EX41" s="23"/>
      <c r="EY41" s="23"/>
      <c r="EZ41" s="20"/>
      <c r="FA41" s="19"/>
      <c r="FB41" s="23"/>
      <c r="FC41" s="23"/>
      <c r="FD41" s="20"/>
      <c r="FE41" s="19"/>
      <c r="FF41" s="23"/>
      <c r="FG41" s="23"/>
      <c r="FH41" s="20"/>
      <c r="FI41" s="19"/>
      <c r="FJ41" s="23"/>
      <c r="FK41" s="23"/>
      <c r="FL41" s="20"/>
      <c r="FM41" s="19"/>
      <c r="FN41" s="23"/>
      <c r="FO41" s="23"/>
      <c r="FP41" s="20"/>
      <c r="FQ41" s="19"/>
      <c r="FR41" s="23"/>
      <c r="FS41" s="23"/>
      <c r="FT41" s="20"/>
      <c r="FU41" s="19"/>
      <c r="FV41" s="23"/>
      <c r="FW41" s="23"/>
      <c r="FX41" s="20"/>
      <c r="FY41" s="19"/>
      <c r="FZ41" s="23"/>
      <c r="GA41" s="23"/>
      <c r="GB41" s="20"/>
      <c r="GC41" s="19"/>
      <c r="GD41" s="23"/>
      <c r="GE41" s="23"/>
      <c r="GF41" s="20"/>
      <c r="GG41" s="19"/>
      <c r="GH41" s="23"/>
      <c r="GI41" s="23"/>
      <c r="GJ41" s="20"/>
      <c r="GK41" s="19"/>
      <c r="GL41" s="22"/>
      <c r="GM41" s="23"/>
      <c r="GN41" s="23"/>
      <c r="GO41" s="23"/>
      <c r="GP41" s="23"/>
      <c r="GQ41" s="23"/>
      <c r="GR41" s="23"/>
      <c r="GS41" s="23"/>
      <c r="GT41" s="23"/>
      <c r="GU41" s="23"/>
      <c r="GV41" s="23"/>
      <c r="GW41" s="23"/>
      <c r="GX41" s="24"/>
      <c r="GY41" s="23"/>
      <c r="GZ41" s="2"/>
    </row>
    <row r="42" spans="1:208" x14ac:dyDescent="0.25">
      <c r="A42" s="17"/>
      <c r="B42" s="12"/>
      <c r="C42" s="15" t="s">
        <v>4</v>
      </c>
      <c r="D42" s="16">
        <v>0</v>
      </c>
      <c r="E42" s="16">
        <v>1</v>
      </c>
      <c r="F42" s="16">
        <v>2</v>
      </c>
      <c r="G42" s="16">
        <v>3</v>
      </c>
      <c r="H42" s="16">
        <v>4</v>
      </c>
      <c r="I42" s="16">
        <v>5</v>
      </c>
      <c r="J42" s="16">
        <v>6</v>
      </c>
      <c r="K42" s="16">
        <v>7</v>
      </c>
      <c r="L42" s="16">
        <v>8</v>
      </c>
      <c r="M42" s="16">
        <v>9</v>
      </c>
      <c r="N42" s="16">
        <v>10</v>
      </c>
      <c r="O42" s="16">
        <v>11</v>
      </c>
      <c r="P42" s="16">
        <v>12</v>
      </c>
      <c r="Q42" s="16">
        <v>13</v>
      </c>
      <c r="R42" s="16">
        <v>14</v>
      </c>
      <c r="S42" s="16">
        <v>15</v>
      </c>
      <c r="T42" s="16">
        <v>16</v>
      </c>
      <c r="U42" s="16">
        <v>17</v>
      </c>
      <c r="V42" s="16">
        <v>18</v>
      </c>
      <c r="W42" s="16">
        <v>19</v>
      </c>
      <c r="X42" s="16">
        <v>20</v>
      </c>
      <c r="Y42" s="16">
        <v>21</v>
      </c>
      <c r="Z42" s="16">
        <v>22</v>
      </c>
      <c r="AA42" s="16">
        <v>23</v>
      </c>
      <c r="AB42" s="16">
        <v>24</v>
      </c>
      <c r="AC42" s="16">
        <v>25</v>
      </c>
      <c r="AD42" s="16">
        <v>26</v>
      </c>
      <c r="AE42" s="16">
        <v>27</v>
      </c>
      <c r="AF42" s="16">
        <v>28</v>
      </c>
      <c r="AG42" s="16">
        <v>29</v>
      </c>
      <c r="AH42" s="16">
        <v>30</v>
      </c>
      <c r="AI42" s="16">
        <v>31</v>
      </c>
      <c r="AJ42" s="16">
        <v>32</v>
      </c>
      <c r="AK42" s="16">
        <v>33</v>
      </c>
      <c r="AL42" s="16">
        <v>34</v>
      </c>
      <c r="AM42" s="16">
        <v>35</v>
      </c>
      <c r="AN42" s="16">
        <v>36</v>
      </c>
      <c r="AO42" s="16">
        <v>37</v>
      </c>
      <c r="AP42" s="16">
        <v>38</v>
      </c>
      <c r="AQ42" s="16">
        <v>39</v>
      </c>
      <c r="AR42" s="16">
        <v>40</v>
      </c>
      <c r="AS42" s="16">
        <v>41</v>
      </c>
      <c r="AT42" s="16">
        <v>42</v>
      </c>
      <c r="AU42" s="16">
        <v>43</v>
      </c>
      <c r="AV42" s="16">
        <v>44</v>
      </c>
      <c r="AW42" s="16">
        <v>45</v>
      </c>
      <c r="AX42" s="16">
        <v>46</v>
      </c>
      <c r="AY42" s="16">
        <v>47</v>
      </c>
      <c r="AZ42" s="16">
        <v>48</v>
      </c>
      <c r="BA42" s="16">
        <v>49</v>
      </c>
      <c r="BB42" s="16">
        <v>50</v>
      </c>
      <c r="BC42" s="16">
        <v>51</v>
      </c>
      <c r="BD42" s="16">
        <v>52</v>
      </c>
      <c r="BE42" s="16">
        <v>53</v>
      </c>
      <c r="BF42" s="16">
        <v>54</v>
      </c>
      <c r="BG42" s="16">
        <v>55</v>
      </c>
      <c r="BH42" s="16">
        <v>56</v>
      </c>
      <c r="BI42" s="16">
        <v>57</v>
      </c>
      <c r="BJ42" s="16">
        <v>58</v>
      </c>
      <c r="BK42" s="16">
        <v>59</v>
      </c>
      <c r="BL42" s="16">
        <v>60</v>
      </c>
      <c r="BM42" s="16">
        <v>61</v>
      </c>
      <c r="BN42" s="16">
        <v>62</v>
      </c>
      <c r="BO42" s="16">
        <v>63</v>
      </c>
      <c r="BP42" s="16">
        <v>64</v>
      </c>
      <c r="BQ42" s="16">
        <v>65</v>
      </c>
      <c r="BR42" s="16">
        <v>66</v>
      </c>
      <c r="BS42" s="16">
        <v>67</v>
      </c>
      <c r="BT42" s="16">
        <v>68</v>
      </c>
      <c r="BU42" s="16">
        <v>69</v>
      </c>
      <c r="BV42" s="16">
        <v>70</v>
      </c>
      <c r="BW42" s="16">
        <v>71</v>
      </c>
      <c r="BX42" s="16">
        <v>72</v>
      </c>
      <c r="BY42" s="16">
        <v>73</v>
      </c>
      <c r="BZ42" s="16">
        <v>74</v>
      </c>
      <c r="CA42" s="16">
        <v>75</v>
      </c>
      <c r="CB42" s="16">
        <v>76</v>
      </c>
      <c r="CC42" s="16">
        <v>77</v>
      </c>
      <c r="CD42" s="16">
        <v>78</v>
      </c>
      <c r="CE42" s="16">
        <v>79</v>
      </c>
      <c r="CF42" s="16">
        <v>80</v>
      </c>
      <c r="CG42" s="16">
        <v>81</v>
      </c>
      <c r="CH42" s="16">
        <v>82</v>
      </c>
      <c r="CI42" s="16">
        <v>83</v>
      </c>
      <c r="CJ42" s="16">
        <v>84</v>
      </c>
      <c r="CK42" s="16">
        <v>85</v>
      </c>
      <c r="CL42" s="16">
        <v>86</v>
      </c>
      <c r="CM42" s="16">
        <v>87</v>
      </c>
      <c r="CN42" s="16">
        <v>88</v>
      </c>
      <c r="CO42" s="16">
        <v>89</v>
      </c>
      <c r="CP42" s="16">
        <v>90</v>
      </c>
      <c r="CQ42" s="16">
        <v>91</v>
      </c>
      <c r="CR42" s="16">
        <v>92</v>
      </c>
      <c r="CS42" s="16">
        <v>93</v>
      </c>
      <c r="CT42" s="16">
        <v>94</v>
      </c>
      <c r="CU42" s="16">
        <v>95</v>
      </c>
      <c r="CV42" s="16">
        <v>96</v>
      </c>
      <c r="CW42" s="16">
        <v>97</v>
      </c>
      <c r="CX42" s="16">
        <v>98</v>
      </c>
      <c r="CY42" s="16">
        <v>99</v>
      </c>
      <c r="CZ42" s="16">
        <v>100</v>
      </c>
      <c r="DA42" s="16">
        <v>101</v>
      </c>
      <c r="DB42" s="16">
        <v>102</v>
      </c>
      <c r="DC42" s="16">
        <v>103</v>
      </c>
      <c r="DD42" s="16">
        <v>104</v>
      </c>
      <c r="DE42" s="16">
        <v>105</v>
      </c>
      <c r="DF42" s="16">
        <v>106</v>
      </c>
      <c r="DG42" s="16">
        <v>107</v>
      </c>
      <c r="DH42" s="16">
        <v>108</v>
      </c>
      <c r="DI42" s="16">
        <v>109</v>
      </c>
      <c r="DJ42" s="16">
        <v>110</v>
      </c>
      <c r="DK42" s="16">
        <v>111</v>
      </c>
      <c r="DL42" s="16">
        <v>112</v>
      </c>
      <c r="DM42" s="16">
        <v>113</v>
      </c>
      <c r="DN42" s="16">
        <v>114</v>
      </c>
      <c r="DO42" s="16">
        <v>115</v>
      </c>
      <c r="DP42" s="16">
        <v>116</v>
      </c>
      <c r="DQ42" s="16">
        <v>117</v>
      </c>
      <c r="DR42" s="16">
        <v>118</v>
      </c>
      <c r="DS42" s="16">
        <v>119</v>
      </c>
      <c r="DT42" s="16">
        <v>120</v>
      </c>
      <c r="DU42" s="16">
        <v>121</v>
      </c>
      <c r="DV42" s="16">
        <v>122</v>
      </c>
      <c r="DW42" s="16">
        <v>123</v>
      </c>
      <c r="DX42" s="16">
        <v>124</v>
      </c>
      <c r="DY42" s="16">
        <v>125</v>
      </c>
      <c r="DZ42" s="16">
        <v>126</v>
      </c>
      <c r="EA42" s="16">
        <v>127</v>
      </c>
      <c r="EB42" s="16">
        <v>128</v>
      </c>
      <c r="EC42" s="16">
        <v>129</v>
      </c>
      <c r="ED42" s="16">
        <v>130</v>
      </c>
      <c r="EE42" s="16">
        <v>131</v>
      </c>
      <c r="EF42" s="16">
        <v>132</v>
      </c>
      <c r="EG42" s="16">
        <v>133</v>
      </c>
      <c r="EH42" s="16">
        <v>134</v>
      </c>
      <c r="EI42" s="16">
        <v>135</v>
      </c>
      <c r="EJ42" s="16">
        <v>136</v>
      </c>
      <c r="EK42" s="16">
        <v>137</v>
      </c>
      <c r="EL42" s="16">
        <v>138</v>
      </c>
      <c r="EM42" s="16">
        <v>139</v>
      </c>
      <c r="EN42" s="16">
        <v>140</v>
      </c>
      <c r="EO42" s="16">
        <v>141</v>
      </c>
      <c r="EP42" s="16">
        <v>142</v>
      </c>
      <c r="EQ42" s="16">
        <v>143</v>
      </c>
      <c r="ER42" s="16">
        <v>144</v>
      </c>
      <c r="ES42" s="16">
        <v>145</v>
      </c>
      <c r="ET42" s="16">
        <v>146</v>
      </c>
      <c r="EU42" s="16">
        <v>147</v>
      </c>
      <c r="EV42" s="16">
        <v>148</v>
      </c>
      <c r="EW42" s="16">
        <v>149</v>
      </c>
      <c r="EX42" s="16">
        <v>150</v>
      </c>
      <c r="EY42" s="16">
        <v>151</v>
      </c>
      <c r="EZ42" s="16">
        <v>152</v>
      </c>
      <c r="FA42" s="16">
        <v>153</v>
      </c>
      <c r="FB42" s="16">
        <v>154</v>
      </c>
      <c r="FC42" s="16">
        <v>155</v>
      </c>
      <c r="FD42" s="16">
        <v>156</v>
      </c>
      <c r="FE42" s="16">
        <v>157</v>
      </c>
      <c r="FF42" s="16">
        <v>158</v>
      </c>
      <c r="FG42" s="16">
        <v>159</v>
      </c>
      <c r="FH42" s="16">
        <v>160</v>
      </c>
      <c r="FI42" s="16">
        <v>161</v>
      </c>
      <c r="FJ42" s="16">
        <v>162</v>
      </c>
      <c r="FK42" s="16">
        <v>163</v>
      </c>
      <c r="FL42" s="16">
        <v>164</v>
      </c>
      <c r="FM42" s="16">
        <v>165</v>
      </c>
      <c r="FN42" s="16">
        <v>166</v>
      </c>
      <c r="FO42" s="16">
        <v>167</v>
      </c>
      <c r="FP42" s="16">
        <v>168</v>
      </c>
      <c r="FQ42" s="16">
        <v>169</v>
      </c>
      <c r="FR42" s="16">
        <v>170</v>
      </c>
      <c r="FS42" s="16">
        <v>171</v>
      </c>
      <c r="FT42" s="16">
        <v>172</v>
      </c>
      <c r="FU42" s="16">
        <v>173</v>
      </c>
      <c r="FV42" s="16">
        <v>174</v>
      </c>
      <c r="FW42" s="16">
        <v>175</v>
      </c>
      <c r="FX42" s="16">
        <v>176</v>
      </c>
      <c r="FY42" s="16">
        <v>177</v>
      </c>
      <c r="FZ42" s="16">
        <v>178</v>
      </c>
      <c r="GA42" s="16">
        <v>179</v>
      </c>
      <c r="GB42" s="16">
        <v>180</v>
      </c>
      <c r="GC42" s="16">
        <v>181</v>
      </c>
      <c r="GD42" s="16">
        <v>182</v>
      </c>
      <c r="GE42" s="16">
        <v>183</v>
      </c>
      <c r="GF42" s="16">
        <v>184</v>
      </c>
      <c r="GG42" s="16">
        <v>185</v>
      </c>
      <c r="GH42" s="16">
        <v>186</v>
      </c>
      <c r="GI42" s="16">
        <v>187</v>
      </c>
      <c r="GJ42" s="16">
        <v>188</v>
      </c>
      <c r="GK42" s="16">
        <v>189</v>
      </c>
      <c r="GL42" s="16">
        <v>190</v>
      </c>
      <c r="GM42" s="16">
        <v>191</v>
      </c>
      <c r="GN42" s="16">
        <v>192</v>
      </c>
      <c r="GO42" s="16">
        <v>193</v>
      </c>
      <c r="GP42" s="16">
        <v>194</v>
      </c>
      <c r="GQ42" s="16">
        <v>195</v>
      </c>
      <c r="GR42" s="16">
        <v>196</v>
      </c>
      <c r="GS42" s="16">
        <v>197</v>
      </c>
      <c r="GT42" s="16">
        <v>198</v>
      </c>
      <c r="GU42" s="16">
        <v>199</v>
      </c>
      <c r="GV42" s="16">
        <v>200</v>
      </c>
      <c r="GW42" s="16">
        <v>201</v>
      </c>
      <c r="GX42" s="16">
        <v>202</v>
      </c>
      <c r="GY42" s="23"/>
      <c r="GZ42" s="2"/>
    </row>
    <row r="43" spans="1:208" x14ac:dyDescent="0.25">
      <c r="A43" s="17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23"/>
      <c r="DY43" s="23"/>
      <c r="DZ43" s="23"/>
      <c r="EA43" s="23"/>
      <c r="EB43" s="23"/>
      <c r="EC43" s="23"/>
      <c r="ED43" s="23"/>
      <c r="EE43" s="23"/>
      <c r="EF43" s="23"/>
      <c r="EG43" s="23"/>
      <c r="EH43" s="23"/>
      <c r="EI43" s="23"/>
      <c r="EJ43" s="23"/>
      <c r="EK43" s="23"/>
      <c r="EL43" s="23"/>
      <c r="EM43" s="23"/>
      <c r="EN43" s="23"/>
      <c r="EO43" s="23"/>
      <c r="EP43" s="23"/>
      <c r="EQ43" s="23"/>
      <c r="ER43" s="23"/>
      <c r="ES43" s="23"/>
      <c r="ET43" s="23"/>
      <c r="EU43" s="23"/>
      <c r="EV43" s="23"/>
      <c r="EW43" s="23"/>
      <c r="EX43" s="23"/>
      <c r="EY43" s="23"/>
      <c r="EZ43" s="23"/>
      <c r="FA43" s="23"/>
      <c r="FB43" s="23"/>
      <c r="FC43" s="23"/>
      <c r="FD43" s="23"/>
      <c r="FE43" s="23"/>
      <c r="FF43" s="23"/>
      <c r="FG43" s="23"/>
      <c r="FH43" s="23"/>
      <c r="FI43" s="23"/>
      <c r="FJ43" s="23"/>
      <c r="FK43" s="23"/>
      <c r="FL43" s="23"/>
      <c r="FM43" s="23"/>
      <c r="FN43" s="23"/>
      <c r="FO43" s="23"/>
      <c r="FP43" s="23"/>
      <c r="FQ43" s="23"/>
      <c r="FR43" s="23"/>
      <c r="FS43" s="23"/>
      <c r="FT43" s="23"/>
      <c r="FU43" s="23"/>
      <c r="FV43" s="23"/>
      <c r="FW43" s="23"/>
      <c r="FX43" s="23"/>
      <c r="FY43" s="23"/>
      <c r="FZ43" s="23"/>
      <c r="GA43" s="23"/>
      <c r="GB43" s="23"/>
      <c r="GC43" s="23"/>
      <c r="GD43" s="23"/>
      <c r="GE43" s="23"/>
      <c r="GF43" s="23"/>
      <c r="GG43" s="23"/>
      <c r="GH43" s="23"/>
      <c r="GI43" s="23"/>
      <c r="GJ43" s="23"/>
      <c r="GK43" s="23"/>
      <c r="GL43" s="23"/>
      <c r="GM43" s="23"/>
      <c r="GN43" s="23"/>
      <c r="GO43" s="23"/>
      <c r="GP43" s="23"/>
      <c r="GQ43" s="23"/>
      <c r="GR43" s="23"/>
      <c r="GS43" s="23"/>
      <c r="GT43" s="23"/>
      <c r="GU43" s="23"/>
      <c r="GV43" s="23"/>
      <c r="GW43" s="23"/>
      <c r="GX43" s="23"/>
      <c r="GY43" s="23"/>
      <c r="GZ43" s="2"/>
    </row>
    <row r="44" spans="1:208" x14ac:dyDescent="0.25">
      <c r="A44" s="17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23"/>
      <c r="DY44" s="23"/>
      <c r="DZ44" s="23"/>
      <c r="EA44" s="23"/>
      <c r="EB44" s="23"/>
      <c r="EC44" s="23"/>
      <c r="ED44" s="23"/>
      <c r="EE44" s="23"/>
      <c r="EF44" s="23"/>
      <c r="EG44" s="23"/>
      <c r="EH44" s="23"/>
      <c r="EI44" s="23"/>
      <c r="EJ44" s="23"/>
      <c r="EK44" s="23"/>
      <c r="EL44" s="23"/>
      <c r="EM44" s="23"/>
      <c r="EN44" s="23"/>
      <c r="EO44" s="23"/>
      <c r="EP44" s="23"/>
      <c r="EQ44" s="23"/>
      <c r="ER44" s="23"/>
      <c r="ES44" s="23"/>
      <c r="ET44" s="23"/>
      <c r="EU44" s="23"/>
      <c r="EV44" s="23"/>
      <c r="EW44" s="23"/>
      <c r="EX44" s="23"/>
      <c r="EY44" s="23"/>
      <c r="EZ44" s="23"/>
      <c r="FA44" s="23"/>
      <c r="FB44" s="23"/>
      <c r="FC44" s="23"/>
      <c r="FD44" s="23"/>
      <c r="FE44" s="23"/>
      <c r="FF44" s="23"/>
      <c r="FG44" s="23"/>
      <c r="FH44" s="23"/>
      <c r="FI44" s="23"/>
      <c r="FJ44" s="23"/>
      <c r="FK44" s="23"/>
      <c r="FL44" s="23"/>
      <c r="FM44" s="23"/>
      <c r="FN44" s="23"/>
      <c r="FO44" s="23"/>
      <c r="FP44" s="23"/>
      <c r="FQ44" s="23"/>
      <c r="FR44" s="23"/>
      <c r="FS44" s="23"/>
      <c r="FT44" s="23"/>
      <c r="FU44" s="23"/>
      <c r="FV44" s="23"/>
      <c r="FW44" s="23"/>
      <c r="FX44" s="23"/>
      <c r="FY44" s="23"/>
      <c r="FZ44" s="23"/>
      <c r="GA44" s="23"/>
      <c r="GB44" s="23"/>
      <c r="GC44" s="23"/>
      <c r="GD44" s="23"/>
      <c r="GE44" s="23"/>
      <c r="GF44" s="23"/>
      <c r="GG44" s="23"/>
      <c r="GH44" s="23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3"/>
      <c r="GU44" s="23"/>
      <c r="GV44" s="23"/>
      <c r="GW44" s="23"/>
      <c r="GX44" s="23"/>
      <c r="GY44" s="23"/>
      <c r="GZ44" s="2"/>
    </row>
    <row r="45" spans="1:208" x14ac:dyDescent="0.25">
      <c r="A45" s="17"/>
      <c r="B45" s="12"/>
      <c r="C45" s="47" t="s">
        <v>63</v>
      </c>
      <c r="D45" s="42" t="s">
        <v>64</v>
      </c>
      <c r="E45" s="12" t="s">
        <v>0</v>
      </c>
      <c r="F45" s="12" t="s">
        <v>0</v>
      </c>
      <c r="G45" s="12" t="s">
        <v>0</v>
      </c>
      <c r="H45" s="12" t="s">
        <v>0</v>
      </c>
      <c r="I45" s="12"/>
      <c r="J45" s="12" t="s">
        <v>1</v>
      </c>
      <c r="K45" s="12"/>
      <c r="L45" s="12" t="s">
        <v>0</v>
      </c>
      <c r="M45" s="12"/>
      <c r="N45" s="12" t="s">
        <v>1</v>
      </c>
      <c r="O45" s="12"/>
      <c r="P45" s="12" t="s">
        <v>2</v>
      </c>
      <c r="Q45" s="12"/>
      <c r="R45" s="12" t="s">
        <v>0</v>
      </c>
      <c r="S45" s="12"/>
      <c r="T45" s="12" t="s">
        <v>3</v>
      </c>
      <c r="U45" s="12"/>
      <c r="V45" s="12" t="s">
        <v>1</v>
      </c>
      <c r="W45" s="12"/>
      <c r="X45" s="12" t="s">
        <v>2</v>
      </c>
      <c r="Y45" s="12"/>
      <c r="Z45" s="12" t="s">
        <v>0</v>
      </c>
      <c r="AA45" s="12"/>
      <c r="AB45" s="12" t="s">
        <v>3</v>
      </c>
      <c r="AC45" s="23"/>
      <c r="AD45" s="12" t="s">
        <v>1</v>
      </c>
      <c r="AE45" s="12"/>
      <c r="AF45" s="12" t="s">
        <v>2</v>
      </c>
      <c r="AG45" s="12"/>
      <c r="AH45" s="12" t="s">
        <v>0</v>
      </c>
      <c r="AI45" s="12"/>
      <c r="AJ45" s="12" t="s">
        <v>3</v>
      </c>
      <c r="AK45" s="12"/>
      <c r="AL45" s="12" t="s">
        <v>1</v>
      </c>
      <c r="AM45" s="12"/>
      <c r="AN45" s="12" t="s">
        <v>2</v>
      </c>
      <c r="AO45" s="12"/>
      <c r="AP45" s="12" t="s">
        <v>0</v>
      </c>
      <c r="AQ45" s="23"/>
      <c r="AR45" s="12" t="s">
        <v>3</v>
      </c>
      <c r="AS45" s="12"/>
      <c r="AT45" s="12" t="s">
        <v>1</v>
      </c>
      <c r="AU45" s="12"/>
      <c r="AV45" s="12" t="s">
        <v>2</v>
      </c>
      <c r="AW45" s="12"/>
      <c r="AX45" s="23" t="s">
        <v>0</v>
      </c>
      <c r="AY45" s="12"/>
      <c r="AZ45" s="12" t="s">
        <v>3</v>
      </c>
      <c r="BA45" s="12"/>
      <c r="BB45" s="23" t="s">
        <v>1</v>
      </c>
      <c r="BC45" s="12"/>
      <c r="BD45" s="23" t="s">
        <v>3</v>
      </c>
      <c r="BE45" s="23"/>
      <c r="BF45" s="12" t="s">
        <v>1</v>
      </c>
      <c r="BG45" s="12"/>
      <c r="BH45" s="12" t="s">
        <v>3</v>
      </c>
      <c r="BI45" s="12"/>
      <c r="BJ45" s="12" t="s">
        <v>1</v>
      </c>
      <c r="BK45" s="12"/>
      <c r="BL45" s="12" t="s">
        <v>3</v>
      </c>
      <c r="BM45" s="12"/>
      <c r="BN45" s="12" t="s">
        <v>1</v>
      </c>
      <c r="BO45" s="12"/>
      <c r="BP45" s="12" t="s">
        <v>3</v>
      </c>
      <c r="BQ45" s="12"/>
      <c r="BR45" s="12" t="s">
        <v>1</v>
      </c>
      <c r="BS45" s="12"/>
      <c r="BT45" s="12" t="s">
        <v>3</v>
      </c>
      <c r="BU45" s="12"/>
      <c r="BV45" s="12" t="s">
        <v>1</v>
      </c>
      <c r="BW45" s="12"/>
      <c r="BX45" s="12" t="s">
        <v>3</v>
      </c>
      <c r="BY45" s="12"/>
      <c r="BZ45" s="12" t="s">
        <v>2</v>
      </c>
      <c r="CA45" s="12"/>
      <c r="CB45" s="12" t="s">
        <v>1</v>
      </c>
      <c r="CC45" s="12"/>
      <c r="CD45" s="12" t="s">
        <v>0</v>
      </c>
      <c r="CE45" s="12"/>
      <c r="CF45" s="12" t="s">
        <v>3</v>
      </c>
      <c r="CG45" s="12"/>
      <c r="CH45" s="12" t="s">
        <v>2</v>
      </c>
      <c r="CI45" s="12"/>
      <c r="CJ45" s="12" t="s">
        <v>1</v>
      </c>
      <c r="CK45" s="12"/>
      <c r="CL45" s="12" t="s">
        <v>0</v>
      </c>
      <c r="CM45" s="12"/>
      <c r="CN45" s="12" t="s">
        <v>3</v>
      </c>
      <c r="CO45" s="12"/>
      <c r="CP45" s="12" t="s">
        <v>2</v>
      </c>
      <c r="CQ45" s="12"/>
      <c r="CR45" s="12" t="s">
        <v>1</v>
      </c>
      <c r="CS45" s="12"/>
      <c r="CT45" s="12" t="s">
        <v>0</v>
      </c>
      <c r="CU45" s="12"/>
      <c r="CV45" s="12" t="s">
        <v>3</v>
      </c>
      <c r="CW45" s="12"/>
      <c r="CX45" s="12" t="s">
        <v>2</v>
      </c>
      <c r="CY45" s="12"/>
      <c r="CZ45" s="12" t="s">
        <v>1</v>
      </c>
      <c r="DA45" s="12"/>
      <c r="DB45" s="12" t="s">
        <v>0</v>
      </c>
      <c r="DC45" s="12"/>
      <c r="DD45" s="12" t="s">
        <v>3</v>
      </c>
      <c r="DE45" s="12"/>
      <c r="DF45" s="12" t="s">
        <v>2</v>
      </c>
      <c r="DG45" s="12"/>
      <c r="DH45" s="12" t="s">
        <v>1</v>
      </c>
      <c r="DI45" s="12"/>
      <c r="DJ45" s="12" t="s">
        <v>0</v>
      </c>
      <c r="DK45" s="12"/>
      <c r="DL45" s="12" t="s">
        <v>1</v>
      </c>
      <c r="DM45" s="12"/>
      <c r="DN45" s="12" t="s">
        <v>0</v>
      </c>
      <c r="DO45" s="12"/>
      <c r="DP45" s="12" t="s">
        <v>1</v>
      </c>
      <c r="DQ45" s="12"/>
      <c r="DR45" s="12" t="s">
        <v>0</v>
      </c>
      <c r="DS45" s="12"/>
      <c r="DT45" s="12" t="s">
        <v>1</v>
      </c>
      <c r="DU45" s="12"/>
      <c r="DV45" s="12" t="s">
        <v>0</v>
      </c>
      <c r="DW45" s="12" t="s">
        <v>0</v>
      </c>
      <c r="DX45" s="12" t="s">
        <v>0</v>
      </c>
      <c r="DY45" s="23"/>
      <c r="DZ45" s="12"/>
      <c r="EA45" s="23"/>
      <c r="EB45" s="12"/>
      <c r="EC45" s="23"/>
      <c r="ED45" s="23"/>
      <c r="EE45" s="23" t="s">
        <v>3</v>
      </c>
      <c r="EF45" s="23"/>
      <c r="EG45" s="23" t="s">
        <v>2</v>
      </c>
      <c r="EH45" s="23"/>
      <c r="EI45" s="23" t="s">
        <v>3</v>
      </c>
      <c r="EJ45" s="23"/>
      <c r="EK45" s="23" t="s">
        <v>2</v>
      </c>
      <c r="EL45" s="23"/>
      <c r="EM45" s="23" t="s">
        <v>3</v>
      </c>
      <c r="EN45" s="23"/>
      <c r="EO45" s="23" t="s">
        <v>2</v>
      </c>
      <c r="EP45" s="23"/>
      <c r="EQ45" s="23" t="s">
        <v>3</v>
      </c>
      <c r="ER45" s="23"/>
      <c r="ES45" s="23" t="s">
        <v>2</v>
      </c>
      <c r="ET45" s="23"/>
      <c r="EU45" s="23" t="s">
        <v>3</v>
      </c>
      <c r="EV45" s="23"/>
      <c r="EW45" s="23" t="s">
        <v>1</v>
      </c>
      <c r="EX45" s="23"/>
      <c r="EY45" s="23" t="s">
        <v>2</v>
      </c>
      <c r="EZ45" s="23"/>
      <c r="FA45" s="23" t="s">
        <v>3</v>
      </c>
      <c r="FB45" s="23"/>
      <c r="FC45" s="23" t="s">
        <v>1</v>
      </c>
      <c r="FD45" s="23"/>
      <c r="FE45" s="23" t="s">
        <v>3</v>
      </c>
      <c r="FF45" s="23"/>
      <c r="FG45" s="23" t="s">
        <v>1</v>
      </c>
      <c r="FH45" s="23"/>
      <c r="FI45" s="23" t="s">
        <v>3</v>
      </c>
      <c r="FJ45" s="23"/>
      <c r="FK45" s="23" t="s">
        <v>1</v>
      </c>
      <c r="FL45" s="23"/>
      <c r="FM45" s="23" t="s">
        <v>3</v>
      </c>
      <c r="FN45" s="23"/>
      <c r="FO45" s="23" t="s">
        <v>1</v>
      </c>
      <c r="FP45" s="23"/>
      <c r="FQ45" s="23" t="s">
        <v>3</v>
      </c>
      <c r="FR45" s="23"/>
      <c r="FS45" s="23" t="s">
        <v>1</v>
      </c>
      <c r="FT45" s="23"/>
      <c r="FU45" s="23" t="s">
        <v>3</v>
      </c>
      <c r="FV45" s="23"/>
      <c r="FW45" s="23" t="s">
        <v>1</v>
      </c>
      <c r="FX45" s="23"/>
      <c r="FY45" s="23" t="s">
        <v>3</v>
      </c>
      <c r="FZ45" s="23"/>
      <c r="GA45" s="23" t="s">
        <v>1</v>
      </c>
      <c r="GB45" s="23"/>
      <c r="GC45" s="23" t="s">
        <v>3</v>
      </c>
      <c r="GD45" s="23"/>
      <c r="GE45" s="23" t="s">
        <v>1</v>
      </c>
      <c r="GF45" s="23"/>
      <c r="GG45" s="23" t="s">
        <v>3</v>
      </c>
      <c r="GH45" s="23"/>
      <c r="GI45" s="23" t="s">
        <v>1</v>
      </c>
      <c r="GJ45" s="23"/>
      <c r="GK45" s="23" t="s">
        <v>3</v>
      </c>
      <c r="GL45" s="23"/>
      <c r="GM45" s="23" t="s">
        <v>1</v>
      </c>
      <c r="GN45" s="23" t="s">
        <v>1</v>
      </c>
      <c r="GO45" s="23" t="s">
        <v>1</v>
      </c>
      <c r="GP45" s="23" t="s">
        <v>1</v>
      </c>
      <c r="GQ45" s="23" t="s">
        <v>1</v>
      </c>
      <c r="GR45" s="23" t="s">
        <v>1</v>
      </c>
      <c r="GS45" s="23" t="s">
        <v>1</v>
      </c>
      <c r="GT45" s="23" t="s">
        <v>1</v>
      </c>
      <c r="GU45" s="23" t="s">
        <v>1</v>
      </c>
      <c r="GV45" s="23"/>
      <c r="GW45" s="23"/>
      <c r="GX45" s="23"/>
      <c r="GY45" s="23"/>
      <c r="GZ45" s="2"/>
    </row>
    <row r="46" spans="1:208" x14ac:dyDescent="0.25">
      <c r="A46" s="17"/>
      <c r="B46" s="12"/>
      <c r="C46" s="47"/>
      <c r="D46" s="42" t="s">
        <v>65</v>
      </c>
      <c r="E46" s="12"/>
      <c r="F46" s="12"/>
      <c r="G46" s="12"/>
      <c r="H46" s="12"/>
      <c r="I46" s="12"/>
      <c r="J46" s="12" t="s">
        <v>0</v>
      </c>
      <c r="K46" s="12"/>
      <c r="L46" s="11" t="s">
        <v>1</v>
      </c>
      <c r="M46" s="12"/>
      <c r="N46" s="12" t="s">
        <v>2</v>
      </c>
      <c r="O46" s="23"/>
      <c r="P46" s="12" t="s">
        <v>0</v>
      </c>
      <c r="Q46" s="12"/>
      <c r="R46" s="12" t="s">
        <v>3</v>
      </c>
      <c r="S46" s="12"/>
      <c r="T46" s="12" t="s">
        <v>1</v>
      </c>
      <c r="U46" s="12"/>
      <c r="V46" s="12" t="s">
        <v>2</v>
      </c>
      <c r="W46" s="12"/>
      <c r="X46" s="12" t="s">
        <v>0</v>
      </c>
      <c r="Y46" s="12"/>
      <c r="Z46" s="12" t="s">
        <v>3</v>
      </c>
      <c r="AA46" s="12"/>
      <c r="AB46" s="12" t="s">
        <v>1</v>
      </c>
      <c r="AC46" s="23"/>
      <c r="AD46" s="12" t="s">
        <v>2</v>
      </c>
      <c r="AE46" s="12"/>
      <c r="AF46" s="12" t="s">
        <v>0</v>
      </c>
      <c r="AG46" s="12"/>
      <c r="AH46" s="12" t="s">
        <v>3</v>
      </c>
      <c r="AI46" s="12"/>
      <c r="AJ46" s="12" t="s">
        <v>1</v>
      </c>
      <c r="AK46" s="12"/>
      <c r="AL46" s="12" t="s">
        <v>2</v>
      </c>
      <c r="AM46" s="12"/>
      <c r="AN46" s="12" t="s">
        <v>0</v>
      </c>
      <c r="AO46" s="12"/>
      <c r="AP46" s="12" t="s">
        <v>3</v>
      </c>
      <c r="AQ46" s="23"/>
      <c r="AR46" s="12" t="s">
        <v>1</v>
      </c>
      <c r="AS46" s="12"/>
      <c r="AT46" s="12" t="s">
        <v>2</v>
      </c>
      <c r="AU46" s="12"/>
      <c r="AV46" s="23" t="s">
        <v>0</v>
      </c>
      <c r="AW46" s="12"/>
      <c r="AX46" s="12" t="s">
        <v>3</v>
      </c>
      <c r="AY46" s="12"/>
      <c r="AZ46" s="12" t="s">
        <v>1</v>
      </c>
      <c r="BA46" s="12"/>
      <c r="BB46" s="23" t="s">
        <v>3</v>
      </c>
      <c r="BC46" s="12"/>
      <c r="BD46" s="23" t="s">
        <v>1</v>
      </c>
      <c r="BE46" s="23"/>
      <c r="BF46" s="12" t="s">
        <v>3</v>
      </c>
      <c r="BG46" s="12"/>
      <c r="BH46" s="12" t="s">
        <v>1</v>
      </c>
      <c r="BI46" s="12"/>
      <c r="BJ46" s="12" t="s">
        <v>3</v>
      </c>
      <c r="BK46" s="12"/>
      <c r="BL46" s="12" t="s">
        <v>3</v>
      </c>
      <c r="BM46" s="12"/>
      <c r="BN46" s="12" t="s">
        <v>3</v>
      </c>
      <c r="BO46" s="12"/>
      <c r="BP46" s="12" t="s">
        <v>1</v>
      </c>
      <c r="BQ46" s="12"/>
      <c r="BR46" s="12" t="s">
        <v>3</v>
      </c>
      <c r="BS46" s="12"/>
      <c r="BT46" s="12" t="s">
        <v>1</v>
      </c>
      <c r="BU46" s="12"/>
      <c r="BV46" s="12" t="s">
        <v>3</v>
      </c>
      <c r="BW46" s="12"/>
      <c r="BX46" s="12" t="s">
        <v>2</v>
      </c>
      <c r="BY46" s="12"/>
      <c r="BZ46" s="12" t="s">
        <v>1</v>
      </c>
      <c r="CA46" s="12"/>
      <c r="CB46" s="12" t="s">
        <v>0</v>
      </c>
      <c r="CC46" s="12"/>
      <c r="CD46" s="12" t="s">
        <v>1</v>
      </c>
      <c r="CE46" s="12"/>
      <c r="CF46" s="12" t="s">
        <v>2</v>
      </c>
      <c r="CG46" s="12"/>
      <c r="CH46" s="12" t="s">
        <v>1</v>
      </c>
      <c r="CI46" s="12"/>
      <c r="CJ46" s="12" t="s">
        <v>0</v>
      </c>
      <c r="CK46" s="12"/>
      <c r="CL46" s="12" t="s">
        <v>1</v>
      </c>
      <c r="CM46" s="12"/>
      <c r="CN46" s="12" t="s">
        <v>2</v>
      </c>
      <c r="CO46" s="12"/>
      <c r="CP46" s="12" t="s">
        <v>1</v>
      </c>
      <c r="CQ46" s="12"/>
      <c r="CR46" s="12" t="s">
        <v>0</v>
      </c>
      <c r="CS46" s="12"/>
      <c r="CT46" s="12" t="s">
        <v>1</v>
      </c>
      <c r="CU46" s="12"/>
      <c r="CV46" s="12" t="s">
        <v>2</v>
      </c>
      <c r="CW46" s="12"/>
      <c r="CX46" s="12" t="s">
        <v>1</v>
      </c>
      <c r="CY46" s="12"/>
      <c r="CZ46" s="12" t="s">
        <v>0</v>
      </c>
      <c r="DA46" s="12"/>
      <c r="DB46" s="12" t="s">
        <v>1</v>
      </c>
      <c r="DC46" s="12"/>
      <c r="DD46" s="12" t="s">
        <v>2</v>
      </c>
      <c r="DE46" s="12"/>
      <c r="DF46" s="12" t="s">
        <v>1</v>
      </c>
      <c r="DG46" s="12"/>
      <c r="DH46" s="12" t="s">
        <v>0</v>
      </c>
      <c r="DI46" s="12"/>
      <c r="DJ46" s="12" t="s">
        <v>1</v>
      </c>
      <c r="DK46" s="12"/>
      <c r="DL46" s="12" t="s">
        <v>0</v>
      </c>
      <c r="DM46" s="12"/>
      <c r="DN46" s="12" t="s">
        <v>1</v>
      </c>
      <c r="DO46" s="12"/>
      <c r="DP46" s="12" t="s">
        <v>0</v>
      </c>
      <c r="DQ46" s="12"/>
      <c r="DR46" s="12" t="s">
        <v>1</v>
      </c>
      <c r="DS46" s="12"/>
      <c r="DT46" s="12" t="s">
        <v>0</v>
      </c>
      <c r="DU46" s="12"/>
      <c r="DV46" s="12"/>
      <c r="DW46" s="12"/>
      <c r="DX46" s="12"/>
      <c r="DY46" s="23"/>
      <c r="DZ46" s="12"/>
      <c r="EA46" s="23"/>
      <c r="EB46" s="12"/>
      <c r="EC46" s="23"/>
      <c r="ED46" s="23"/>
      <c r="EE46" s="23"/>
      <c r="EF46" s="23"/>
      <c r="EG46" s="23" t="s">
        <v>3</v>
      </c>
      <c r="EH46" s="23"/>
      <c r="EI46" s="23" t="s">
        <v>2</v>
      </c>
      <c r="EJ46" s="23"/>
      <c r="EK46" s="23" t="s">
        <v>3</v>
      </c>
      <c r="EL46" s="23"/>
      <c r="EM46" s="23" t="s">
        <v>2</v>
      </c>
      <c r="EN46" s="23"/>
      <c r="EO46" s="23" t="s">
        <v>3</v>
      </c>
      <c r="EP46" s="23"/>
      <c r="EQ46" s="23" t="s">
        <v>2</v>
      </c>
      <c r="ER46" s="23"/>
      <c r="ES46" s="23" t="s">
        <v>3</v>
      </c>
      <c r="ET46" s="23"/>
      <c r="EU46" s="23" t="s">
        <v>1</v>
      </c>
      <c r="EV46" s="23"/>
      <c r="EW46" s="23" t="s">
        <v>2</v>
      </c>
      <c r="EX46" s="23"/>
      <c r="EY46" s="23" t="s">
        <v>3</v>
      </c>
      <c r="EZ46" s="23"/>
      <c r="FA46" s="23" t="s">
        <v>1</v>
      </c>
      <c r="FB46" s="23"/>
      <c r="FC46" s="23" t="s">
        <v>3</v>
      </c>
      <c r="FD46" s="23"/>
      <c r="FE46" s="23" t="s">
        <v>1</v>
      </c>
      <c r="FF46" s="23"/>
      <c r="FG46" s="23" t="s">
        <v>3</v>
      </c>
      <c r="FH46" s="23"/>
      <c r="FI46" s="23" t="s">
        <v>1</v>
      </c>
      <c r="FJ46" s="23"/>
      <c r="FK46" s="23" t="s">
        <v>3</v>
      </c>
      <c r="FL46" s="23"/>
      <c r="FM46" s="23" t="s">
        <v>1</v>
      </c>
      <c r="FN46" s="23"/>
      <c r="FO46" s="23" t="s">
        <v>3</v>
      </c>
      <c r="FP46" s="23"/>
      <c r="FQ46" s="23" t="s">
        <v>1</v>
      </c>
      <c r="FR46" s="23"/>
      <c r="FS46" s="23" t="s">
        <v>3</v>
      </c>
      <c r="FT46" s="23"/>
      <c r="FU46" s="23" t="s">
        <v>1</v>
      </c>
      <c r="FV46" s="23"/>
      <c r="FW46" s="23" t="s">
        <v>3</v>
      </c>
      <c r="FX46" s="23"/>
      <c r="FY46" s="23" t="s">
        <v>1</v>
      </c>
      <c r="FZ46" s="23"/>
      <c r="GA46" s="23" t="s">
        <v>3</v>
      </c>
      <c r="GB46" s="23"/>
      <c r="GC46" s="23" t="s">
        <v>1</v>
      </c>
      <c r="GD46" s="23"/>
      <c r="GE46" s="23" t="s">
        <v>3</v>
      </c>
      <c r="GF46" s="23"/>
      <c r="GG46" s="23" t="s">
        <v>1</v>
      </c>
      <c r="GH46" s="23"/>
      <c r="GI46" s="23" t="s">
        <v>3</v>
      </c>
      <c r="GJ46" s="23"/>
      <c r="GK46" s="23" t="s">
        <v>1</v>
      </c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"/>
    </row>
    <row r="47" spans="1:208" x14ac:dyDescent="0.25">
      <c r="A47" s="17"/>
      <c r="B47" s="12"/>
      <c r="C47" s="47"/>
      <c r="D47" s="42" t="s">
        <v>66</v>
      </c>
      <c r="E47" s="12"/>
      <c r="F47" s="12"/>
      <c r="G47" s="12"/>
      <c r="H47" s="12"/>
      <c r="I47" s="12"/>
      <c r="J47" s="12"/>
      <c r="K47" s="12"/>
      <c r="L47" s="12"/>
      <c r="M47" s="12"/>
      <c r="N47" s="12" t="s">
        <v>0</v>
      </c>
      <c r="O47" s="12"/>
      <c r="P47" s="12" t="s">
        <v>3</v>
      </c>
      <c r="Q47" s="12"/>
      <c r="R47" s="12" t="s">
        <v>1</v>
      </c>
      <c r="S47" s="12"/>
      <c r="T47" s="12" t="s">
        <v>2</v>
      </c>
      <c r="U47" s="12"/>
      <c r="V47" s="12" t="s">
        <v>0</v>
      </c>
      <c r="W47" s="12"/>
      <c r="X47" s="12" t="s">
        <v>3</v>
      </c>
      <c r="Y47" s="12"/>
      <c r="Z47" s="12" t="s">
        <v>1</v>
      </c>
      <c r="AA47" s="12"/>
      <c r="AB47" s="12" t="s">
        <v>2</v>
      </c>
      <c r="AC47" s="23"/>
      <c r="AD47" s="12" t="s">
        <v>0</v>
      </c>
      <c r="AE47" s="12"/>
      <c r="AF47" s="12" t="s">
        <v>3</v>
      </c>
      <c r="AG47" s="12"/>
      <c r="AH47" s="12" t="s">
        <v>1</v>
      </c>
      <c r="AI47" s="12"/>
      <c r="AJ47" s="12" t="s">
        <v>2</v>
      </c>
      <c r="AK47" s="12"/>
      <c r="AL47" s="12" t="s">
        <v>0</v>
      </c>
      <c r="AM47" s="12"/>
      <c r="AN47" s="12" t="s">
        <v>3</v>
      </c>
      <c r="AO47" s="12"/>
      <c r="AP47" s="12" t="s">
        <v>1</v>
      </c>
      <c r="AQ47" s="23"/>
      <c r="AR47" s="12" t="s">
        <v>2</v>
      </c>
      <c r="AS47" s="12"/>
      <c r="AT47" s="23" t="s">
        <v>0</v>
      </c>
      <c r="AU47" s="12"/>
      <c r="AV47" s="12" t="s">
        <v>3</v>
      </c>
      <c r="AW47" s="12"/>
      <c r="AX47" s="12" t="s">
        <v>1</v>
      </c>
      <c r="AY47" s="12"/>
      <c r="AZ47" s="12"/>
      <c r="BA47" s="12"/>
      <c r="BB47" s="12"/>
      <c r="BC47" s="12"/>
      <c r="BD47" s="23"/>
      <c r="BE47" s="23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23"/>
      <c r="BU47" s="12"/>
      <c r="BV47" s="23" t="s">
        <v>2</v>
      </c>
      <c r="BW47" s="12"/>
      <c r="BX47" s="12" t="s">
        <v>1</v>
      </c>
      <c r="BY47" s="12"/>
      <c r="BZ47" s="12" t="s">
        <v>0</v>
      </c>
      <c r="CA47" s="12"/>
      <c r="CB47" s="12" t="s">
        <v>3</v>
      </c>
      <c r="CC47" s="12"/>
      <c r="CD47" s="12" t="s">
        <v>3</v>
      </c>
      <c r="CE47" s="12"/>
      <c r="CF47" s="12" t="s">
        <v>1</v>
      </c>
      <c r="CG47" s="12"/>
      <c r="CH47" s="12" t="s">
        <v>0</v>
      </c>
      <c r="CI47" s="12"/>
      <c r="CJ47" s="12" t="s">
        <v>3</v>
      </c>
      <c r="CK47" s="12"/>
      <c r="CL47" s="12" t="s">
        <v>3</v>
      </c>
      <c r="CM47" s="12"/>
      <c r="CN47" s="12" t="s">
        <v>1</v>
      </c>
      <c r="CO47" s="12"/>
      <c r="CP47" s="12" t="s">
        <v>0</v>
      </c>
      <c r="CQ47" s="12"/>
      <c r="CR47" s="12" t="s">
        <v>3</v>
      </c>
      <c r="CS47" s="12"/>
      <c r="CT47" s="12" t="s">
        <v>3</v>
      </c>
      <c r="CU47" s="12"/>
      <c r="CV47" s="12" t="s">
        <v>1</v>
      </c>
      <c r="CW47" s="12"/>
      <c r="CX47" s="12" t="s">
        <v>0</v>
      </c>
      <c r="CY47" s="12"/>
      <c r="CZ47" s="12" t="s">
        <v>3</v>
      </c>
      <c r="DA47" s="12"/>
      <c r="DB47" s="12" t="s">
        <v>3</v>
      </c>
      <c r="DC47" s="12"/>
      <c r="DD47" s="12" t="s">
        <v>1</v>
      </c>
      <c r="DE47" s="12"/>
      <c r="DF47" s="12" t="s">
        <v>0</v>
      </c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ET47" s="23"/>
      <c r="EU47" s="23" t="s">
        <v>2</v>
      </c>
      <c r="EV47" s="23"/>
      <c r="EW47" s="23" t="s">
        <v>3</v>
      </c>
      <c r="EX47" s="23"/>
      <c r="EY47" s="23" t="s">
        <v>1</v>
      </c>
      <c r="EZ47" s="23"/>
      <c r="FA47" s="23"/>
      <c r="FB47" s="23"/>
      <c r="FC47" s="23"/>
      <c r="FD47" s="23"/>
      <c r="FE47" s="23"/>
      <c r="FF47" s="23"/>
      <c r="FG47" s="23"/>
      <c r="FH47" s="23"/>
      <c r="FI47" s="23"/>
      <c r="FJ47" s="23"/>
      <c r="FK47" s="23"/>
      <c r="FL47" s="23"/>
      <c r="FM47" s="23"/>
      <c r="FN47" s="23"/>
      <c r="FO47" s="23"/>
      <c r="FP47" s="23"/>
      <c r="FQ47" s="23"/>
      <c r="FR47" s="23"/>
      <c r="FS47" s="23"/>
      <c r="FT47" s="23"/>
      <c r="FU47" s="23"/>
      <c r="FV47" s="23"/>
      <c r="FW47" s="23"/>
      <c r="FX47" s="23"/>
      <c r="FY47" s="23"/>
      <c r="FZ47" s="23"/>
      <c r="GA47" s="23"/>
      <c r="GB47" s="23"/>
      <c r="GC47" s="23"/>
      <c r="GD47" s="23"/>
      <c r="GE47" s="23"/>
      <c r="GF47" s="23"/>
      <c r="GG47" s="23"/>
      <c r="GH47" s="23"/>
      <c r="GI47" s="23"/>
      <c r="GJ47" s="23"/>
      <c r="GK47" s="23"/>
      <c r="GL47" s="23"/>
      <c r="GM47" s="23"/>
      <c r="GN47" s="23"/>
      <c r="GO47" s="23"/>
      <c r="GP47" s="23"/>
      <c r="GQ47" s="23"/>
      <c r="GR47" s="23"/>
      <c r="GS47" s="23"/>
      <c r="GT47" s="23"/>
      <c r="GU47" s="23"/>
      <c r="GV47" s="23"/>
      <c r="GW47" s="23"/>
      <c r="GX47" s="23"/>
      <c r="GY47" s="23"/>
      <c r="GZ47" s="2"/>
    </row>
    <row r="48" spans="1:208" x14ac:dyDescent="0.25">
      <c r="A48" s="17"/>
      <c r="B48" s="12"/>
      <c r="C48" s="47"/>
      <c r="D48" s="42" t="s">
        <v>67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 t="s">
        <v>1</v>
      </c>
      <c r="Q48" s="12"/>
      <c r="R48" s="12" t="s">
        <v>2</v>
      </c>
      <c r="S48" s="12"/>
      <c r="T48" s="12" t="s">
        <v>0</v>
      </c>
      <c r="U48" s="12"/>
      <c r="V48" s="12" t="s">
        <v>3</v>
      </c>
      <c r="W48" s="12"/>
      <c r="X48" s="12" t="s">
        <v>1</v>
      </c>
      <c r="Y48" s="12"/>
      <c r="Z48" s="12" t="s">
        <v>2</v>
      </c>
      <c r="AA48" s="12"/>
      <c r="AB48" s="12" t="s">
        <v>0</v>
      </c>
      <c r="AC48" s="23"/>
      <c r="AD48" s="12" t="s">
        <v>3</v>
      </c>
      <c r="AE48" s="12"/>
      <c r="AF48" s="12" t="s">
        <v>1</v>
      </c>
      <c r="AG48" s="12"/>
      <c r="AH48" s="12" t="s">
        <v>2</v>
      </c>
      <c r="AI48" s="12"/>
      <c r="AJ48" s="12" t="s">
        <v>0</v>
      </c>
      <c r="AK48" s="12"/>
      <c r="AL48" s="12" t="s">
        <v>3</v>
      </c>
      <c r="AM48" s="12"/>
      <c r="AN48" s="12" t="s">
        <v>1</v>
      </c>
      <c r="AO48" s="12"/>
      <c r="AP48" s="12" t="s">
        <v>2</v>
      </c>
      <c r="AQ48" s="23"/>
      <c r="AR48" s="12" t="s">
        <v>0</v>
      </c>
      <c r="AS48" s="12"/>
      <c r="AT48" s="12" t="s">
        <v>3</v>
      </c>
      <c r="AU48" s="12"/>
      <c r="AV48" s="12" t="s">
        <v>1</v>
      </c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 t="s">
        <v>0</v>
      </c>
      <c r="BY48" s="12"/>
      <c r="BZ48" s="12" t="s">
        <v>3</v>
      </c>
      <c r="CA48" s="12"/>
      <c r="CB48" s="12" t="s">
        <v>2</v>
      </c>
      <c r="CC48" s="12"/>
      <c r="CD48" s="12" t="s">
        <v>2</v>
      </c>
      <c r="CE48" s="12"/>
      <c r="CF48" s="12" t="s">
        <v>0</v>
      </c>
      <c r="CG48" s="12"/>
      <c r="CH48" s="12" t="s">
        <v>3</v>
      </c>
      <c r="CI48" s="12"/>
      <c r="CJ48" s="12" t="s">
        <v>2</v>
      </c>
      <c r="CK48" s="12"/>
      <c r="CL48" s="12" t="s">
        <v>2</v>
      </c>
      <c r="CM48" s="12"/>
      <c r="CN48" s="12" t="s">
        <v>0</v>
      </c>
      <c r="CO48" s="12"/>
      <c r="CP48" s="12" t="s">
        <v>3</v>
      </c>
      <c r="CQ48" s="12"/>
      <c r="CR48" s="12" t="s">
        <v>2</v>
      </c>
      <c r="CS48" s="12"/>
      <c r="CT48" s="12" t="s">
        <v>2</v>
      </c>
      <c r="CU48" s="12"/>
      <c r="CV48" s="12" t="s">
        <v>0</v>
      </c>
      <c r="CW48" s="12"/>
      <c r="CX48" s="12" t="s">
        <v>3</v>
      </c>
      <c r="CY48" s="12"/>
      <c r="CZ48" s="12" t="s">
        <v>2</v>
      </c>
      <c r="DA48" s="12"/>
      <c r="DB48" s="12" t="s">
        <v>2</v>
      </c>
      <c r="DC48" s="12"/>
      <c r="DD48" s="12" t="s">
        <v>0</v>
      </c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ET48" s="23"/>
      <c r="EU48" s="23"/>
      <c r="EV48" s="23"/>
      <c r="EW48" s="23"/>
      <c r="EX48" s="23"/>
      <c r="EY48" s="23"/>
      <c r="EZ48" s="23"/>
      <c r="FA48" s="23"/>
      <c r="FB48" s="23"/>
      <c r="FC48" s="23"/>
      <c r="FD48" s="23"/>
      <c r="FE48" s="23"/>
      <c r="FF48" s="23"/>
      <c r="FG48" s="23"/>
      <c r="FH48" s="23"/>
      <c r="FI48" s="23"/>
      <c r="FJ48" s="23"/>
      <c r="FK48" s="23"/>
      <c r="FL48" s="23"/>
      <c r="FM48" s="23"/>
      <c r="FN48" s="23"/>
      <c r="FO48" s="23"/>
      <c r="FP48" s="23"/>
      <c r="FQ48" s="23"/>
      <c r="FR48" s="23"/>
      <c r="FS48" s="23"/>
      <c r="FT48" s="23"/>
      <c r="FU48" s="23"/>
      <c r="FV48" s="23"/>
      <c r="FW48" s="23"/>
      <c r="FX48" s="23"/>
      <c r="FY48" s="23"/>
      <c r="FZ48" s="23"/>
      <c r="GA48" s="23"/>
      <c r="GB48" s="23"/>
      <c r="GC48" s="23"/>
      <c r="GD48" s="23"/>
      <c r="GE48" s="23"/>
      <c r="GF48" s="23"/>
      <c r="GG48" s="23"/>
      <c r="GH48" s="23"/>
      <c r="GI48" s="23"/>
      <c r="GJ48" s="23"/>
      <c r="GK48" s="23"/>
      <c r="GL48" s="23"/>
      <c r="GM48" s="23"/>
      <c r="GN48" s="23"/>
      <c r="GO48" s="23"/>
      <c r="GP48" s="23"/>
      <c r="GQ48" s="23"/>
      <c r="GR48" s="23"/>
      <c r="GS48" s="23"/>
      <c r="GT48" s="23"/>
      <c r="GU48" s="23"/>
      <c r="GV48" s="23"/>
      <c r="GW48" s="23"/>
      <c r="GX48" s="23"/>
      <c r="GY48" s="23"/>
      <c r="GZ48" s="2"/>
    </row>
    <row r="49" spans="1:208" x14ac:dyDescent="0.25">
      <c r="A49" s="17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23"/>
      <c r="BY49" s="12"/>
      <c r="BZ49" s="23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23"/>
      <c r="DY49" s="23"/>
      <c r="DZ49" s="23"/>
      <c r="EA49" s="23"/>
      <c r="EB49" s="23"/>
      <c r="EC49" s="23"/>
      <c r="ED49" s="23"/>
      <c r="EE49" s="23"/>
      <c r="EF49" s="23"/>
      <c r="EG49" s="23"/>
      <c r="EH49" s="23"/>
      <c r="EI49" s="23"/>
      <c r="EJ49" s="23"/>
      <c r="EK49" s="23"/>
      <c r="EL49" s="23"/>
      <c r="EM49" s="23"/>
      <c r="EN49" s="23"/>
      <c r="EO49" s="23"/>
      <c r="EP49" s="23"/>
      <c r="EQ49" s="23"/>
      <c r="ER49" s="23"/>
      <c r="ES49" s="23"/>
      <c r="ET49" s="23"/>
      <c r="EU49" s="23"/>
      <c r="EV49" s="23"/>
      <c r="EW49" s="23"/>
      <c r="EX49" s="23"/>
      <c r="EY49" s="23"/>
      <c r="EZ49" s="23"/>
      <c r="FA49" s="23"/>
      <c r="FB49" s="23"/>
      <c r="FC49" s="23"/>
      <c r="FD49" s="23"/>
      <c r="FE49" s="23"/>
      <c r="FF49" s="23"/>
      <c r="FG49" s="23"/>
      <c r="FH49" s="23"/>
      <c r="FI49" s="23"/>
      <c r="FJ49" s="23"/>
      <c r="FK49" s="23"/>
      <c r="FL49" s="23"/>
      <c r="FM49" s="23"/>
      <c r="FN49" s="23"/>
      <c r="FO49" s="23"/>
      <c r="FP49" s="23"/>
      <c r="FQ49" s="23"/>
      <c r="FR49" s="23"/>
      <c r="FS49" s="23"/>
      <c r="FT49" s="23"/>
      <c r="FU49" s="23"/>
      <c r="FV49" s="23"/>
      <c r="FW49" s="23"/>
      <c r="FX49" s="23"/>
      <c r="FY49" s="23"/>
      <c r="FZ49" s="23"/>
      <c r="GA49" s="23"/>
      <c r="GB49" s="23"/>
      <c r="GC49" s="23"/>
      <c r="GD49" s="23"/>
      <c r="GE49" s="23"/>
      <c r="GF49" s="23"/>
      <c r="GG49" s="23"/>
      <c r="GH49" s="23"/>
      <c r="GI49" s="23"/>
      <c r="GJ49" s="23"/>
      <c r="GK49" s="23"/>
      <c r="GL49" s="23"/>
      <c r="GM49" s="23"/>
      <c r="GN49" s="23"/>
      <c r="GO49" s="23"/>
      <c r="GP49" s="23"/>
      <c r="GQ49" s="23"/>
      <c r="GR49" s="23"/>
      <c r="GS49" s="23"/>
      <c r="GT49" s="23"/>
      <c r="GU49" s="23"/>
      <c r="GV49" s="23"/>
      <c r="GW49" s="23"/>
      <c r="GX49" s="23"/>
      <c r="GY49" s="23"/>
      <c r="GZ49" s="2"/>
    </row>
    <row r="50" spans="1:208" x14ac:dyDescent="0.25">
      <c r="A50" s="17"/>
      <c r="B50" s="12"/>
      <c r="C50" s="12"/>
      <c r="D50" s="43" t="s">
        <v>16</v>
      </c>
      <c r="E50" s="43"/>
      <c r="F50" s="43"/>
      <c r="G50" s="43" t="s">
        <v>59</v>
      </c>
      <c r="H50" s="43"/>
      <c r="I50" s="43"/>
      <c r="J50" s="43">
        <v>125</v>
      </c>
      <c r="K50" s="43"/>
      <c r="L50" s="43"/>
      <c r="M50" s="11"/>
      <c r="N50" s="11"/>
      <c r="O50" s="11"/>
      <c r="P50" s="43" t="s">
        <v>20</v>
      </c>
      <c r="Q50" s="43"/>
      <c r="R50" s="43"/>
      <c r="S50" s="43"/>
      <c r="T50" s="43"/>
      <c r="U50" s="43"/>
      <c r="V50" s="43"/>
      <c r="W50" s="43"/>
      <c r="X50" s="43"/>
      <c r="Y50" s="43" t="s">
        <v>58</v>
      </c>
      <c r="Z50" s="43"/>
      <c r="AA50" s="43"/>
      <c r="AB50" s="43">
        <f>125/20</f>
        <v>6.25</v>
      </c>
      <c r="AC50" s="43"/>
      <c r="AD50" s="43"/>
      <c r="AE50" s="11"/>
      <c r="AF50" s="11"/>
      <c r="AG50" s="43" t="s">
        <v>25</v>
      </c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11"/>
      <c r="AT50" s="43" t="s">
        <v>62</v>
      </c>
      <c r="AU50" s="43"/>
      <c r="AV50" s="43"/>
      <c r="AW50" s="43"/>
      <c r="AX50" s="43"/>
      <c r="AY50" s="43"/>
      <c r="AZ50" s="43"/>
      <c r="BA50" s="11"/>
      <c r="BB50" s="43">
        <f>(126+202+153+191)/4</f>
        <v>168</v>
      </c>
      <c r="BC50" s="43"/>
      <c r="BD50" s="43"/>
      <c r="BE50" s="43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/>
      <c r="EL50" s="23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3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3"/>
      <c r="FK50" s="23"/>
      <c r="FL50" s="23"/>
      <c r="FM50" s="23"/>
      <c r="FN50" s="23"/>
      <c r="FO50" s="23"/>
      <c r="FP50" s="23"/>
      <c r="FQ50" s="23"/>
      <c r="FR50" s="23"/>
      <c r="FS50" s="23"/>
      <c r="FT50" s="23"/>
      <c r="FU50" s="23"/>
      <c r="FV50" s="23"/>
      <c r="FW50" s="23"/>
      <c r="FX50" s="23"/>
      <c r="FY50" s="23"/>
      <c r="FZ50" s="23"/>
      <c r="GA50" s="23"/>
      <c r="GB50" s="23"/>
      <c r="GC50" s="23"/>
      <c r="GD50" s="23"/>
      <c r="GE50" s="23"/>
      <c r="GF50" s="23"/>
      <c r="GG50" s="23"/>
      <c r="GH50" s="23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3"/>
      <c r="GU50" s="23"/>
      <c r="GV50" s="23"/>
      <c r="GW50" s="23"/>
      <c r="GX50" s="23"/>
      <c r="GY50" s="23"/>
      <c r="GZ50" s="2"/>
    </row>
    <row r="51" spans="1:208" x14ac:dyDescent="0.25">
      <c r="A51" s="17"/>
      <c r="B51" s="12"/>
      <c r="C51" s="12"/>
      <c r="D51" s="43" t="s">
        <v>17</v>
      </c>
      <c r="E51" s="43"/>
      <c r="F51" s="43"/>
      <c r="G51" s="43" t="s">
        <v>60</v>
      </c>
      <c r="H51" s="43"/>
      <c r="I51" s="43"/>
      <c r="J51" s="43">
        <v>197</v>
      </c>
      <c r="K51" s="43"/>
      <c r="L51" s="43"/>
      <c r="M51" s="11"/>
      <c r="N51" s="11"/>
      <c r="O51" s="11"/>
      <c r="P51" s="43" t="s">
        <v>21</v>
      </c>
      <c r="Q51" s="43"/>
      <c r="R51" s="43"/>
      <c r="S51" s="43"/>
      <c r="T51" s="43"/>
      <c r="U51" s="43"/>
      <c r="V51" s="43"/>
      <c r="W51" s="43"/>
      <c r="X51" s="43"/>
      <c r="Y51" s="43" t="s">
        <v>61</v>
      </c>
      <c r="Z51" s="43"/>
      <c r="AA51" s="43"/>
      <c r="AB51" s="43">
        <f>197/40</f>
        <v>4.9249999999999998</v>
      </c>
      <c r="AC51" s="43"/>
      <c r="AD51" s="43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23"/>
      <c r="DY51" s="23"/>
      <c r="DZ51" s="23"/>
      <c r="EA51" s="23"/>
      <c r="EB51" s="23"/>
      <c r="EC51" s="23"/>
      <c r="ED51" s="23"/>
      <c r="EE51" s="23"/>
      <c r="EF51" s="23"/>
      <c r="EG51" s="23"/>
      <c r="EH51" s="23"/>
      <c r="EI51" s="23"/>
      <c r="EJ51" s="23"/>
      <c r="EK51" s="23"/>
      <c r="EL51" s="23"/>
      <c r="EM51" s="23"/>
      <c r="EN51" s="23"/>
      <c r="EO51" s="23"/>
      <c r="EP51" s="23"/>
      <c r="EQ51" s="23"/>
      <c r="ER51" s="23"/>
      <c r="ES51" s="23"/>
      <c r="ET51" s="23"/>
      <c r="EU51" s="23"/>
      <c r="EV51" s="23"/>
      <c r="EW51" s="23"/>
      <c r="EX51" s="23"/>
      <c r="EY51" s="23"/>
      <c r="EZ51" s="23"/>
      <c r="FA51" s="23"/>
      <c r="FB51" s="23"/>
      <c r="FC51" s="23"/>
      <c r="FD51" s="23"/>
      <c r="FE51" s="23"/>
      <c r="FF51" s="23"/>
      <c r="FG51" s="23"/>
      <c r="FH51" s="23"/>
      <c r="FI51" s="23"/>
      <c r="FJ51" s="23"/>
      <c r="FK51" s="23"/>
      <c r="FL51" s="23"/>
      <c r="FM51" s="23"/>
      <c r="FN51" s="23"/>
      <c r="FO51" s="23"/>
      <c r="FP51" s="23"/>
      <c r="FQ51" s="23"/>
      <c r="FR51" s="23"/>
      <c r="FS51" s="23"/>
      <c r="FT51" s="23"/>
      <c r="FU51" s="23"/>
      <c r="FV51" s="23"/>
      <c r="FW51" s="23"/>
      <c r="FX51" s="23"/>
      <c r="FY51" s="23"/>
      <c r="FZ51" s="23"/>
      <c r="GA51" s="23"/>
      <c r="GB51" s="23"/>
      <c r="GC51" s="23"/>
      <c r="GD51" s="23"/>
      <c r="GE51" s="23"/>
      <c r="GF51" s="23"/>
      <c r="GG51" s="23"/>
      <c r="GH51" s="23"/>
      <c r="GI51" s="23"/>
      <c r="GJ51" s="23"/>
      <c r="GK51" s="23"/>
      <c r="GL51" s="23"/>
      <c r="GM51" s="23"/>
      <c r="GN51" s="23"/>
      <c r="GO51" s="23"/>
      <c r="GP51" s="23"/>
      <c r="GQ51" s="23"/>
      <c r="GR51" s="23"/>
      <c r="GS51" s="23"/>
      <c r="GT51" s="23"/>
      <c r="GU51" s="23"/>
      <c r="GV51" s="23"/>
      <c r="GW51" s="23"/>
      <c r="GX51" s="23"/>
      <c r="GY51" s="23"/>
      <c r="GZ51" s="2"/>
    </row>
    <row r="52" spans="1:208" x14ac:dyDescent="0.25">
      <c r="A52" s="17"/>
      <c r="B52" s="12"/>
      <c r="C52" s="12"/>
      <c r="D52" s="43" t="s">
        <v>18</v>
      </c>
      <c r="E52" s="43"/>
      <c r="F52" s="43"/>
      <c r="G52" s="43" t="s">
        <v>54</v>
      </c>
      <c r="H52" s="43"/>
      <c r="I52" s="43"/>
      <c r="J52" s="43">
        <v>144</v>
      </c>
      <c r="K52" s="43"/>
      <c r="L52" s="43"/>
      <c r="M52" s="11"/>
      <c r="N52" s="11"/>
      <c r="O52" s="11"/>
      <c r="P52" s="43" t="s">
        <v>22</v>
      </c>
      <c r="Q52" s="43"/>
      <c r="R52" s="43"/>
      <c r="S52" s="43"/>
      <c r="T52" s="43"/>
      <c r="U52" s="43"/>
      <c r="V52" s="43"/>
      <c r="W52" s="43"/>
      <c r="X52" s="43"/>
      <c r="Y52" s="43" t="s">
        <v>56</v>
      </c>
      <c r="Z52" s="43"/>
      <c r="AA52" s="43"/>
      <c r="AB52" s="43">
        <f>144/15</f>
        <v>9.6</v>
      </c>
      <c r="AC52" s="43"/>
      <c r="AD52" s="43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23"/>
      <c r="DY52" s="23"/>
      <c r="DZ52" s="23"/>
      <c r="EA52" s="23"/>
      <c r="EB52" s="23"/>
      <c r="EC52" s="23"/>
      <c r="ED52" s="23"/>
      <c r="EE52" s="23"/>
      <c r="EF52" s="23"/>
      <c r="EG52" s="23"/>
      <c r="EH52" s="23"/>
      <c r="EI52" s="23"/>
      <c r="EJ52" s="23"/>
      <c r="EK52" s="23"/>
      <c r="EL52" s="23"/>
      <c r="EM52" s="23"/>
      <c r="EN52" s="23"/>
      <c r="EO52" s="23"/>
      <c r="EP52" s="23"/>
      <c r="EQ52" s="23"/>
      <c r="ER52" s="23"/>
      <c r="ES52" s="23"/>
      <c r="ET52" s="23"/>
      <c r="EU52" s="23"/>
      <c r="EV52" s="23"/>
      <c r="EW52" s="23"/>
      <c r="EX52" s="23"/>
      <c r="EY52" s="23"/>
      <c r="EZ52" s="23"/>
      <c r="FA52" s="23"/>
      <c r="FB52" s="23"/>
      <c r="FC52" s="23"/>
      <c r="FD52" s="23"/>
      <c r="FE52" s="23"/>
      <c r="FF52" s="23"/>
      <c r="FG52" s="23"/>
      <c r="FH52" s="23"/>
      <c r="FI52" s="23"/>
      <c r="FJ52" s="23"/>
      <c r="FK52" s="23"/>
      <c r="FL52" s="23"/>
      <c r="FM52" s="23"/>
      <c r="FN52" s="23"/>
      <c r="FO52" s="23"/>
      <c r="FP52" s="23"/>
      <c r="FQ52" s="23"/>
      <c r="FR52" s="23"/>
      <c r="FS52" s="23"/>
      <c r="FT52" s="23"/>
      <c r="FU52" s="23"/>
      <c r="FV52" s="23"/>
      <c r="FW52" s="23"/>
      <c r="FX52" s="23"/>
      <c r="FY52" s="23"/>
      <c r="FZ52" s="23"/>
      <c r="GA52" s="23"/>
      <c r="GB52" s="23"/>
      <c r="GC52" s="23"/>
      <c r="GD52" s="23"/>
      <c r="GE52" s="23"/>
      <c r="GF52" s="23"/>
      <c r="GG52" s="23"/>
      <c r="GH52" s="23"/>
      <c r="GI52" s="23"/>
      <c r="GJ52" s="23"/>
      <c r="GK52" s="23"/>
      <c r="GL52" s="23"/>
      <c r="GM52" s="23"/>
      <c r="GN52" s="23"/>
      <c r="GO52" s="23"/>
      <c r="GP52" s="23"/>
      <c r="GQ52" s="23"/>
      <c r="GR52" s="23"/>
      <c r="GS52" s="23"/>
      <c r="GT52" s="23"/>
      <c r="GU52" s="23"/>
      <c r="GV52" s="23"/>
      <c r="GW52" s="23"/>
      <c r="GX52" s="23"/>
      <c r="GY52" s="23"/>
      <c r="GZ52" s="2"/>
    </row>
    <row r="53" spans="1:208" x14ac:dyDescent="0.25">
      <c r="A53" s="17"/>
      <c r="B53" s="12"/>
      <c r="C53" s="12"/>
      <c r="D53" s="43" t="s">
        <v>19</v>
      </c>
      <c r="E53" s="43"/>
      <c r="F53" s="43"/>
      <c r="G53" s="43" t="s">
        <v>55</v>
      </c>
      <c r="H53" s="43"/>
      <c r="I53" s="43"/>
      <c r="J53" s="43">
        <v>180</v>
      </c>
      <c r="K53" s="43"/>
      <c r="L53" s="43"/>
      <c r="M53" s="11"/>
      <c r="N53" s="11"/>
      <c r="O53" s="11"/>
      <c r="P53" s="43" t="s">
        <v>23</v>
      </c>
      <c r="Q53" s="43"/>
      <c r="R53" s="43"/>
      <c r="S53" s="43"/>
      <c r="T53" s="43"/>
      <c r="U53" s="43"/>
      <c r="V53" s="43"/>
      <c r="W53" s="43"/>
      <c r="X53" s="43"/>
      <c r="Y53" s="43" t="s">
        <v>57</v>
      </c>
      <c r="Z53" s="43"/>
      <c r="AA53" s="43"/>
      <c r="AB53" s="43">
        <f>180/30</f>
        <v>6</v>
      </c>
      <c r="AC53" s="43"/>
      <c r="AD53" s="43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43" t="s">
        <v>26</v>
      </c>
      <c r="AT53" s="43"/>
      <c r="AU53" s="43"/>
      <c r="AV53" s="43"/>
      <c r="AW53" s="43"/>
      <c r="AX53" s="43"/>
      <c r="AY53" s="43">
        <f ca="1">contarcolor(AM54,D38:DY38)</f>
        <v>65</v>
      </c>
      <c r="AZ53" s="43"/>
      <c r="BA53" s="43"/>
      <c r="BB53" s="11"/>
      <c r="BC53" s="11"/>
      <c r="BD53" s="11"/>
      <c r="BE53" s="11"/>
      <c r="BF53" s="11"/>
      <c r="BG53" s="43" t="s">
        <v>30</v>
      </c>
      <c r="BH53" s="43"/>
      <c r="BI53" s="43"/>
      <c r="BJ53" s="43"/>
      <c r="BK53" s="43"/>
      <c r="BL53" s="43"/>
      <c r="BM53" s="43"/>
      <c r="BN53" s="43"/>
      <c r="BO53" s="43"/>
      <c r="BP53" s="11"/>
      <c r="BQ53" s="43" t="s">
        <v>68</v>
      </c>
      <c r="BR53" s="43"/>
      <c r="BS53" s="43"/>
      <c r="BT53" s="43"/>
      <c r="BU53" s="43"/>
      <c r="BV53" s="43"/>
      <c r="BW53" s="11"/>
      <c r="BX53" s="43">
        <f>(65+100+62+93)/4</f>
        <v>80</v>
      </c>
      <c r="BY53" s="43"/>
      <c r="BZ53" s="43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23"/>
      <c r="DY53" s="23"/>
      <c r="DZ53" s="23"/>
      <c r="EA53" s="23"/>
      <c r="EB53" s="23"/>
      <c r="EC53" s="23"/>
      <c r="ED53" s="23"/>
      <c r="EE53" s="23"/>
      <c r="EF53" s="23"/>
      <c r="EG53" s="23"/>
      <c r="EH53" s="23"/>
      <c r="EI53" s="23"/>
      <c r="EJ53" s="23"/>
      <c r="EK53" s="23"/>
      <c r="EL53" s="23"/>
      <c r="EM53" s="23"/>
      <c r="EN53" s="23"/>
      <c r="EO53" s="23"/>
      <c r="EP53" s="23"/>
      <c r="EQ53" s="23"/>
      <c r="ER53" s="23"/>
      <c r="ES53" s="23"/>
      <c r="ET53" s="23"/>
      <c r="EU53" s="23"/>
      <c r="EV53" s="23"/>
      <c r="EW53" s="23"/>
      <c r="EX53" s="23"/>
      <c r="EY53" s="23"/>
      <c r="EZ53" s="23"/>
      <c r="FA53" s="23"/>
      <c r="FB53" s="23"/>
      <c r="FC53" s="23"/>
      <c r="FD53" s="23"/>
      <c r="FE53" s="23"/>
      <c r="FF53" s="23"/>
      <c r="FG53" s="23"/>
      <c r="FH53" s="23"/>
      <c r="FI53" s="23"/>
      <c r="FJ53" s="23"/>
      <c r="FK53" s="23"/>
      <c r="FL53" s="23"/>
      <c r="FM53" s="23"/>
      <c r="FN53" s="23"/>
      <c r="FO53" s="23"/>
      <c r="FP53" s="23"/>
      <c r="FQ53" s="23"/>
      <c r="FR53" s="23"/>
      <c r="FS53" s="23"/>
      <c r="FT53" s="23"/>
      <c r="FU53" s="23"/>
      <c r="FV53" s="23"/>
      <c r="FW53" s="23"/>
      <c r="FX53" s="23"/>
      <c r="FY53" s="23"/>
      <c r="FZ53" s="23"/>
      <c r="GA53" s="23"/>
      <c r="GB53" s="23"/>
      <c r="GC53" s="23"/>
      <c r="GD53" s="23"/>
      <c r="GE53" s="23"/>
      <c r="GF53" s="23"/>
      <c r="GG53" s="23"/>
      <c r="GH53" s="23"/>
      <c r="GI53" s="23"/>
      <c r="GJ53" s="23"/>
      <c r="GK53" s="23"/>
      <c r="GL53" s="23"/>
      <c r="GM53" s="23"/>
      <c r="GN53" s="23"/>
      <c r="GO53" s="23"/>
      <c r="GP53" s="23"/>
      <c r="GQ53" s="23"/>
      <c r="GR53" s="23"/>
      <c r="GS53" s="23"/>
      <c r="GT53" s="23"/>
      <c r="GU53" s="23"/>
      <c r="GV53" s="23"/>
      <c r="GW53" s="23"/>
      <c r="GX53" s="23"/>
      <c r="GY53" s="23"/>
      <c r="GZ53" s="2"/>
    </row>
    <row r="54" spans="1:208" x14ac:dyDescent="0.25">
      <c r="A54" s="17"/>
      <c r="B54" s="12"/>
      <c r="C54" s="12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43" t="s">
        <v>27</v>
      </c>
      <c r="AT54" s="43"/>
      <c r="AU54" s="43"/>
      <c r="AV54" s="43"/>
      <c r="AW54" s="43"/>
      <c r="AX54" s="43"/>
      <c r="AY54" s="43">
        <f ca="1">contarcolor(AM55,H39:GW39)</f>
        <v>100</v>
      </c>
      <c r="AZ54" s="43"/>
      <c r="BA54" s="43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23"/>
      <c r="DY54" s="23"/>
      <c r="DZ54" s="23"/>
      <c r="EA54" s="23"/>
      <c r="EB54" s="23"/>
      <c r="EC54" s="23"/>
      <c r="ED54" s="23"/>
      <c r="EE54" s="23"/>
      <c r="EF54" s="23"/>
      <c r="EG54" s="23"/>
      <c r="EH54" s="23"/>
      <c r="EI54" s="23"/>
      <c r="EJ54" s="23"/>
      <c r="EK54" s="23"/>
      <c r="EL54" s="23"/>
      <c r="EM54" s="23"/>
      <c r="EN54" s="23"/>
      <c r="EO54" s="23"/>
      <c r="EP54" s="23"/>
      <c r="EQ54" s="23"/>
      <c r="ER54" s="23"/>
      <c r="ES54" s="23"/>
      <c r="ET54" s="23"/>
      <c r="EU54" s="23"/>
      <c r="EV54" s="23"/>
      <c r="EW54" s="23"/>
      <c r="EX54" s="23"/>
      <c r="EY54" s="23"/>
      <c r="EZ54" s="23"/>
      <c r="FA54" s="23"/>
      <c r="FB54" s="23"/>
      <c r="FC54" s="23"/>
      <c r="FD54" s="23"/>
      <c r="FE54" s="23"/>
      <c r="FF54" s="23"/>
      <c r="FG54" s="23"/>
      <c r="FH54" s="23"/>
      <c r="FI54" s="23"/>
      <c r="FJ54" s="23"/>
      <c r="FK54" s="23"/>
      <c r="FL54" s="23"/>
      <c r="FM54" s="23"/>
      <c r="FN54" s="23"/>
      <c r="FO54" s="23"/>
      <c r="FP54" s="23"/>
      <c r="FQ54" s="23"/>
      <c r="FR54" s="23"/>
      <c r="FS54" s="23"/>
      <c r="FT54" s="23"/>
      <c r="FU54" s="23"/>
      <c r="FV54" s="23"/>
      <c r="FW54" s="23"/>
      <c r="FX54" s="23"/>
      <c r="FY54" s="23"/>
      <c r="FZ54" s="23"/>
      <c r="GA54" s="23"/>
      <c r="GB54" s="23"/>
      <c r="GC54" s="23"/>
      <c r="GD54" s="23"/>
      <c r="GE54" s="23"/>
      <c r="GF54" s="23"/>
      <c r="GG54" s="23"/>
      <c r="GH54" s="23"/>
      <c r="GI54" s="23"/>
      <c r="GJ54" s="23"/>
      <c r="GK54" s="23"/>
      <c r="GL54" s="23"/>
      <c r="GM54" s="23"/>
      <c r="GN54" s="23"/>
      <c r="GO54" s="23"/>
      <c r="GP54" s="23"/>
      <c r="GQ54" s="23"/>
      <c r="GR54" s="23"/>
      <c r="GS54" s="23"/>
      <c r="GT54" s="23"/>
      <c r="GU54" s="23"/>
      <c r="GV54" s="23"/>
      <c r="GW54" s="23"/>
      <c r="GX54" s="23"/>
      <c r="GY54" s="23"/>
      <c r="GZ54" s="2"/>
    </row>
    <row r="55" spans="1:208" x14ac:dyDescent="0.25">
      <c r="A55" s="17"/>
      <c r="B55" s="12"/>
      <c r="C55" s="12"/>
      <c r="D55" s="11"/>
      <c r="E55" s="11"/>
      <c r="F55" s="11"/>
      <c r="G55" s="11"/>
      <c r="H55" s="11"/>
      <c r="I55" s="11"/>
      <c r="J55" s="43" t="s">
        <v>96</v>
      </c>
      <c r="K55" s="43"/>
      <c r="L55" s="43"/>
      <c r="M55" s="43"/>
      <c r="N55" s="43"/>
      <c r="O55" s="11">
        <v>6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43" t="s">
        <v>28</v>
      </c>
      <c r="AT55" s="43"/>
      <c r="AU55" s="43"/>
      <c r="AV55" s="43"/>
      <c r="AW55" s="43"/>
      <c r="AX55" s="43"/>
      <c r="AY55" s="43">
        <f ca="1">contarcolor(AM56,L40:EZ40)+1</f>
        <v>63</v>
      </c>
      <c r="AZ55" s="43"/>
      <c r="BA55" s="43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23"/>
      <c r="DY55" s="23"/>
      <c r="DZ55" s="23"/>
      <c r="EA55" s="23"/>
      <c r="EB55" s="23"/>
      <c r="EC55" s="23"/>
      <c r="ED55" s="23"/>
      <c r="EE55" s="23"/>
      <c r="EF55" s="23"/>
      <c r="EG55" s="23"/>
      <c r="EH55" s="23"/>
      <c r="EI55" s="23"/>
      <c r="EJ55" s="23"/>
      <c r="EK55" s="23"/>
      <c r="EL55" s="23"/>
      <c r="EM55" s="23"/>
      <c r="EN55" s="23"/>
      <c r="EO55" s="23"/>
      <c r="EP55" s="23"/>
      <c r="EQ55" s="23"/>
      <c r="ER55" s="23"/>
      <c r="ES55" s="23"/>
      <c r="ET55" s="23"/>
      <c r="EU55" s="23"/>
      <c r="EV55" s="23"/>
      <c r="EW55" s="23"/>
      <c r="EX55" s="23"/>
      <c r="EY55" s="23"/>
      <c r="EZ55" s="23"/>
      <c r="FA55" s="23"/>
      <c r="FB55" s="23"/>
      <c r="FC55" s="23"/>
      <c r="FD55" s="23"/>
      <c r="FE55" s="23"/>
      <c r="FF55" s="23"/>
      <c r="FG55" s="23"/>
      <c r="FH55" s="23"/>
      <c r="FI55" s="23"/>
      <c r="FJ55" s="23"/>
      <c r="FK55" s="23"/>
      <c r="FL55" s="23"/>
      <c r="FM55" s="23"/>
      <c r="FN55" s="23"/>
      <c r="FO55" s="23"/>
      <c r="FP55" s="23"/>
      <c r="FQ55" s="23"/>
      <c r="FR55" s="23"/>
      <c r="FS55" s="23"/>
      <c r="FT55" s="23"/>
      <c r="FU55" s="23"/>
      <c r="FV55" s="23"/>
      <c r="FW55" s="23"/>
      <c r="FX55" s="23"/>
      <c r="FY55" s="23"/>
      <c r="FZ55" s="23"/>
      <c r="GA55" s="23"/>
      <c r="GB55" s="23"/>
      <c r="GC55" s="23"/>
      <c r="GD55" s="23"/>
      <c r="GE55" s="23"/>
      <c r="GF55" s="23"/>
      <c r="GG55" s="23"/>
      <c r="GH55" s="23"/>
      <c r="GI55" s="23"/>
      <c r="GJ55" s="23"/>
      <c r="GK55" s="23"/>
      <c r="GL55" s="23"/>
      <c r="GM55" s="23"/>
      <c r="GN55" s="23"/>
      <c r="GO55" s="23"/>
      <c r="GP55" s="23"/>
      <c r="GQ55" s="23"/>
      <c r="GR55" s="23"/>
      <c r="GS55" s="23"/>
      <c r="GT55" s="23"/>
      <c r="GU55" s="23"/>
      <c r="GV55" s="23"/>
      <c r="GW55" s="23"/>
      <c r="GX55" s="23"/>
      <c r="GY55" s="23"/>
      <c r="GZ55" s="2"/>
    </row>
    <row r="56" spans="1:208" x14ac:dyDescent="0.25">
      <c r="A56" s="26"/>
      <c r="B56" s="27"/>
      <c r="C56" s="27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44" t="s">
        <v>29</v>
      </c>
      <c r="AT56" s="44"/>
      <c r="AU56" s="44"/>
      <c r="AV56" s="44"/>
      <c r="AW56" s="44"/>
      <c r="AX56" s="44"/>
      <c r="AY56" s="44">
        <f ca="1">contarcolor(AM57,P41:GL41)+1</f>
        <v>94</v>
      </c>
      <c r="AZ56" s="44"/>
      <c r="BA56" s="44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29"/>
    </row>
    <row r="57" spans="1:208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</row>
    <row r="58" spans="1:208" x14ac:dyDescent="0.25">
      <c r="B58" s="45" t="s">
        <v>69</v>
      </c>
      <c r="C58" s="4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3"/>
    </row>
    <row r="59" spans="1:208" ht="9.9499999999999993" customHeight="1" x14ac:dyDescent="0.25">
      <c r="A59" s="13"/>
      <c r="B59" s="17"/>
      <c r="C59" s="14" t="s">
        <v>0</v>
      </c>
      <c r="D59" s="18"/>
      <c r="E59" s="19"/>
      <c r="F59" s="19"/>
      <c r="G59" s="19"/>
      <c r="H59" s="19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20"/>
      <c r="AE59" s="19"/>
      <c r="AF59" s="19"/>
      <c r="AG59" s="19"/>
      <c r="AH59" s="19"/>
      <c r="AI59" s="19"/>
      <c r="AJ59" s="19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20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2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23"/>
      <c r="EC59" s="23"/>
      <c r="ED59" s="23"/>
      <c r="EE59" s="23"/>
      <c r="EF59" s="23"/>
      <c r="EG59" s="23"/>
      <c r="EH59" s="23"/>
      <c r="EI59" s="23"/>
      <c r="EJ59" s="23"/>
      <c r="EK59" s="24"/>
      <c r="EL59" s="2"/>
    </row>
    <row r="60" spans="1:208" ht="9.9499999999999993" customHeight="1" x14ac:dyDescent="0.25">
      <c r="A60" s="13"/>
      <c r="B60" s="17"/>
      <c r="C60" s="14" t="s">
        <v>1</v>
      </c>
      <c r="D60" s="12"/>
      <c r="E60" s="12"/>
      <c r="F60" s="12"/>
      <c r="G60" s="12"/>
      <c r="H60" s="18"/>
      <c r="I60" s="20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0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2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23"/>
      <c r="EC60" s="23"/>
      <c r="ED60" s="23"/>
      <c r="EE60" s="23"/>
      <c r="EF60" s="23"/>
      <c r="EG60" s="23"/>
      <c r="EH60" s="23"/>
      <c r="EI60" s="23"/>
      <c r="EJ60" s="23"/>
      <c r="EK60" s="24"/>
      <c r="EL60" s="2"/>
    </row>
    <row r="61" spans="1:208" ht="9.9499999999999993" customHeight="1" x14ac:dyDescent="0.25">
      <c r="A61" s="13"/>
      <c r="B61" s="17"/>
      <c r="C61" s="14" t="s">
        <v>2</v>
      </c>
      <c r="D61" s="12"/>
      <c r="E61" s="12"/>
      <c r="F61" s="12"/>
      <c r="G61" s="12"/>
      <c r="H61" s="12"/>
      <c r="I61" s="12"/>
      <c r="J61" s="12"/>
      <c r="K61" s="23"/>
      <c r="L61" s="18"/>
      <c r="M61" s="25"/>
      <c r="N61" s="23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23"/>
      <c r="AD61" s="23"/>
      <c r="AE61" s="12"/>
      <c r="AF61" s="12"/>
      <c r="AG61" s="12"/>
      <c r="AH61" s="12"/>
      <c r="AI61" s="12"/>
      <c r="AJ61" s="12"/>
      <c r="AK61" s="20"/>
      <c r="AL61" s="19"/>
      <c r="AM61" s="19"/>
      <c r="AN61" s="19"/>
      <c r="AO61" s="19"/>
      <c r="AP61" s="19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20"/>
      <c r="CJ61" s="19"/>
      <c r="CK61" s="19"/>
      <c r="CL61" s="19"/>
      <c r="CM61" s="19"/>
      <c r="CN61" s="19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0"/>
      <c r="DO61" s="19"/>
      <c r="DP61" s="19"/>
      <c r="DQ61" s="19"/>
      <c r="DR61" s="19"/>
      <c r="DS61" s="19"/>
      <c r="DT61" s="22"/>
      <c r="DU61" s="23"/>
      <c r="DV61" s="23"/>
      <c r="DW61" s="23"/>
      <c r="DX61" s="23"/>
      <c r="DY61" s="23"/>
      <c r="DZ61" s="23"/>
      <c r="EA61" s="23"/>
      <c r="EB61" s="23"/>
      <c r="EC61" s="23"/>
      <c r="ED61" s="23"/>
      <c r="EE61" s="23"/>
      <c r="EF61" s="23"/>
      <c r="EG61" s="23"/>
      <c r="EH61" s="23"/>
      <c r="EI61" s="23"/>
      <c r="EJ61" s="23"/>
      <c r="EK61" s="24"/>
      <c r="EL61" s="2"/>
    </row>
    <row r="62" spans="1:208" ht="9.9499999999999993" customHeight="1" x14ac:dyDescent="0.25">
      <c r="A62" s="13"/>
      <c r="B62" s="17"/>
      <c r="C62" s="14" t="s">
        <v>3</v>
      </c>
      <c r="D62" s="12"/>
      <c r="E62" s="12"/>
      <c r="F62" s="12"/>
      <c r="G62" s="12"/>
      <c r="H62" s="12"/>
      <c r="I62" s="12"/>
      <c r="J62" s="12"/>
      <c r="K62" s="23"/>
      <c r="L62" s="12"/>
      <c r="M62" s="12"/>
      <c r="N62" s="18"/>
      <c r="O62" s="25"/>
      <c r="P62" s="23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0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20"/>
      <c r="CP62" s="19"/>
      <c r="CQ62" s="19"/>
      <c r="CR62" s="19"/>
      <c r="CS62" s="19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12"/>
      <c r="DT62" s="20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  <c r="EJ62" s="22"/>
      <c r="EK62" s="24"/>
      <c r="EL62" s="2"/>
    </row>
    <row r="63" spans="1:208" x14ac:dyDescent="0.25">
      <c r="A63" s="13"/>
      <c r="B63" s="17"/>
      <c r="C63" s="15" t="s">
        <v>4</v>
      </c>
      <c r="D63" s="16">
        <v>0</v>
      </c>
      <c r="E63" s="16">
        <v>1</v>
      </c>
      <c r="F63" s="16">
        <v>2</v>
      </c>
      <c r="G63" s="16">
        <v>3</v>
      </c>
      <c r="H63" s="16">
        <v>4</v>
      </c>
      <c r="I63" s="16">
        <v>5</v>
      </c>
      <c r="J63" s="16">
        <v>6</v>
      </c>
      <c r="K63" s="16">
        <v>7</v>
      </c>
      <c r="L63" s="16">
        <v>8</v>
      </c>
      <c r="M63" s="16">
        <v>9</v>
      </c>
      <c r="N63" s="16">
        <v>10</v>
      </c>
      <c r="O63" s="16">
        <v>11</v>
      </c>
      <c r="P63" s="16">
        <v>12</v>
      </c>
      <c r="Q63" s="16">
        <v>13</v>
      </c>
      <c r="R63" s="16">
        <v>14</v>
      </c>
      <c r="S63" s="16">
        <v>15</v>
      </c>
      <c r="T63" s="16">
        <v>16</v>
      </c>
      <c r="U63" s="16">
        <v>17</v>
      </c>
      <c r="V63" s="16">
        <v>18</v>
      </c>
      <c r="W63" s="16">
        <v>19</v>
      </c>
      <c r="X63" s="16">
        <v>20</v>
      </c>
      <c r="Y63" s="16">
        <v>21</v>
      </c>
      <c r="Z63" s="16">
        <v>22</v>
      </c>
      <c r="AA63" s="16">
        <v>23</v>
      </c>
      <c r="AB63" s="16">
        <v>24</v>
      </c>
      <c r="AC63" s="16">
        <v>25</v>
      </c>
      <c r="AD63" s="16">
        <v>26</v>
      </c>
      <c r="AE63" s="16">
        <v>27</v>
      </c>
      <c r="AF63" s="16">
        <v>28</v>
      </c>
      <c r="AG63" s="16">
        <v>29</v>
      </c>
      <c r="AH63" s="16">
        <v>30</v>
      </c>
      <c r="AI63" s="16">
        <v>31</v>
      </c>
      <c r="AJ63" s="16">
        <v>32</v>
      </c>
      <c r="AK63" s="16">
        <v>33</v>
      </c>
      <c r="AL63" s="16">
        <v>34</v>
      </c>
      <c r="AM63" s="16">
        <v>35</v>
      </c>
      <c r="AN63" s="16">
        <v>36</v>
      </c>
      <c r="AO63" s="16">
        <v>37</v>
      </c>
      <c r="AP63" s="16">
        <v>38</v>
      </c>
      <c r="AQ63" s="16">
        <v>39</v>
      </c>
      <c r="AR63" s="16">
        <v>40</v>
      </c>
      <c r="AS63" s="16">
        <v>41</v>
      </c>
      <c r="AT63" s="16">
        <v>42</v>
      </c>
      <c r="AU63" s="16">
        <v>43</v>
      </c>
      <c r="AV63" s="16">
        <v>44</v>
      </c>
      <c r="AW63" s="16">
        <v>45</v>
      </c>
      <c r="AX63" s="16">
        <v>46</v>
      </c>
      <c r="AY63" s="16">
        <v>47</v>
      </c>
      <c r="AZ63" s="16">
        <v>48</v>
      </c>
      <c r="BA63" s="16">
        <v>49</v>
      </c>
      <c r="BB63" s="16">
        <v>50</v>
      </c>
      <c r="BC63" s="16">
        <v>51</v>
      </c>
      <c r="BD63" s="16">
        <v>52</v>
      </c>
      <c r="BE63" s="16">
        <v>53</v>
      </c>
      <c r="BF63" s="16">
        <v>54</v>
      </c>
      <c r="BG63" s="16">
        <v>55</v>
      </c>
      <c r="BH63" s="16">
        <v>56</v>
      </c>
      <c r="BI63" s="16">
        <v>57</v>
      </c>
      <c r="BJ63" s="16">
        <v>58</v>
      </c>
      <c r="BK63" s="16">
        <v>59</v>
      </c>
      <c r="BL63" s="16">
        <v>60</v>
      </c>
      <c r="BM63" s="16">
        <v>61</v>
      </c>
      <c r="BN63" s="16">
        <v>62</v>
      </c>
      <c r="BO63" s="16">
        <v>63</v>
      </c>
      <c r="BP63" s="16">
        <v>64</v>
      </c>
      <c r="BQ63" s="16">
        <v>65</v>
      </c>
      <c r="BR63" s="16">
        <v>66</v>
      </c>
      <c r="BS63" s="16">
        <v>67</v>
      </c>
      <c r="BT63" s="16">
        <v>68</v>
      </c>
      <c r="BU63" s="16">
        <v>69</v>
      </c>
      <c r="BV63" s="16">
        <v>70</v>
      </c>
      <c r="BW63" s="16">
        <v>71</v>
      </c>
      <c r="BX63" s="16">
        <v>72</v>
      </c>
      <c r="BY63" s="16">
        <v>73</v>
      </c>
      <c r="BZ63" s="16">
        <v>74</v>
      </c>
      <c r="CA63" s="16">
        <v>75</v>
      </c>
      <c r="CB63" s="16">
        <v>76</v>
      </c>
      <c r="CC63" s="16">
        <v>77</v>
      </c>
      <c r="CD63" s="16">
        <v>78</v>
      </c>
      <c r="CE63" s="16">
        <v>79</v>
      </c>
      <c r="CF63" s="16">
        <v>80</v>
      </c>
      <c r="CG63" s="16">
        <v>81</v>
      </c>
      <c r="CH63" s="16">
        <v>82</v>
      </c>
      <c r="CI63" s="16">
        <v>83</v>
      </c>
      <c r="CJ63" s="16">
        <v>84</v>
      </c>
      <c r="CK63" s="16">
        <v>85</v>
      </c>
      <c r="CL63" s="16">
        <v>86</v>
      </c>
      <c r="CM63" s="16">
        <v>87</v>
      </c>
      <c r="CN63" s="16">
        <v>88</v>
      </c>
      <c r="CO63" s="16">
        <v>89</v>
      </c>
      <c r="CP63" s="16">
        <v>90</v>
      </c>
      <c r="CQ63" s="16">
        <v>91</v>
      </c>
      <c r="CR63" s="16">
        <v>92</v>
      </c>
      <c r="CS63" s="16">
        <v>93</v>
      </c>
      <c r="CT63" s="16">
        <v>94</v>
      </c>
      <c r="CU63" s="16">
        <v>95</v>
      </c>
      <c r="CV63" s="16">
        <v>96</v>
      </c>
      <c r="CW63" s="16">
        <v>97</v>
      </c>
      <c r="CX63" s="16">
        <v>98</v>
      </c>
      <c r="CY63" s="16">
        <v>99</v>
      </c>
      <c r="CZ63" s="16">
        <v>100</v>
      </c>
      <c r="DA63" s="16">
        <v>101</v>
      </c>
      <c r="DB63" s="16">
        <v>102</v>
      </c>
      <c r="DC63" s="16">
        <v>103</v>
      </c>
      <c r="DD63" s="16">
        <v>104</v>
      </c>
      <c r="DE63" s="16">
        <v>105</v>
      </c>
      <c r="DF63" s="16">
        <v>106</v>
      </c>
      <c r="DG63" s="16">
        <v>107</v>
      </c>
      <c r="DH63" s="16">
        <v>108</v>
      </c>
      <c r="DI63" s="16">
        <v>109</v>
      </c>
      <c r="DJ63" s="16">
        <v>110</v>
      </c>
      <c r="DK63" s="16">
        <v>111</v>
      </c>
      <c r="DL63" s="16">
        <v>112</v>
      </c>
      <c r="DM63" s="16">
        <v>113</v>
      </c>
      <c r="DN63" s="16">
        <v>114</v>
      </c>
      <c r="DO63" s="16">
        <v>115</v>
      </c>
      <c r="DP63" s="16">
        <v>116</v>
      </c>
      <c r="DQ63" s="16">
        <v>117</v>
      </c>
      <c r="DR63" s="16">
        <v>118</v>
      </c>
      <c r="DS63" s="16">
        <v>119</v>
      </c>
      <c r="DT63" s="16">
        <v>120</v>
      </c>
      <c r="DU63" s="16">
        <v>121</v>
      </c>
      <c r="DV63" s="16">
        <v>122</v>
      </c>
      <c r="DW63" s="16">
        <v>123</v>
      </c>
      <c r="DX63" s="16">
        <v>124</v>
      </c>
      <c r="DY63" s="16">
        <v>125</v>
      </c>
      <c r="DZ63" s="16">
        <v>126</v>
      </c>
      <c r="EA63" s="16">
        <v>127</v>
      </c>
      <c r="EB63" s="16">
        <v>128</v>
      </c>
      <c r="EC63" s="16">
        <v>129</v>
      </c>
      <c r="ED63" s="16">
        <v>130</v>
      </c>
      <c r="EE63" s="16">
        <v>131</v>
      </c>
      <c r="EF63" s="16">
        <v>132</v>
      </c>
      <c r="EG63" s="16">
        <v>133</v>
      </c>
      <c r="EH63" s="16">
        <v>134</v>
      </c>
      <c r="EI63" s="16">
        <v>135</v>
      </c>
      <c r="EJ63" s="16">
        <v>136</v>
      </c>
      <c r="EK63" s="16">
        <v>137</v>
      </c>
      <c r="EL63" s="2"/>
    </row>
    <row r="64" spans="1:208" x14ac:dyDescent="0.25">
      <c r="A64" s="13"/>
      <c r="B64" s="17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23"/>
      <c r="DY64" s="23"/>
      <c r="DZ64" s="23"/>
      <c r="EA64" s="23"/>
      <c r="EB64" s="23"/>
      <c r="EC64" s="23"/>
      <c r="ED64" s="23"/>
      <c r="EE64" s="23"/>
      <c r="EF64" s="23"/>
      <c r="EG64" s="23"/>
      <c r="EH64" s="23"/>
      <c r="EI64" s="23"/>
      <c r="EJ64" s="23"/>
      <c r="EK64" s="23"/>
      <c r="EL64" s="2"/>
    </row>
    <row r="65" spans="1:142" x14ac:dyDescent="0.25">
      <c r="A65" s="13"/>
      <c r="B65" s="17"/>
      <c r="C65" s="12"/>
      <c r="D65" s="43" t="s">
        <v>16</v>
      </c>
      <c r="E65" s="43"/>
      <c r="F65" s="43"/>
      <c r="G65" s="43" t="s">
        <v>70</v>
      </c>
      <c r="H65" s="43"/>
      <c r="I65" s="43"/>
      <c r="J65" s="43">
        <v>83</v>
      </c>
      <c r="K65" s="43"/>
      <c r="L65" s="43"/>
      <c r="M65" s="11"/>
      <c r="N65" s="11"/>
      <c r="O65" s="11"/>
      <c r="P65" s="43" t="s">
        <v>20</v>
      </c>
      <c r="Q65" s="43"/>
      <c r="R65" s="43"/>
      <c r="S65" s="43"/>
      <c r="T65" s="43"/>
      <c r="U65" s="43"/>
      <c r="V65" s="43"/>
      <c r="W65" s="43"/>
      <c r="X65" s="43"/>
      <c r="Y65" s="43" t="s">
        <v>74</v>
      </c>
      <c r="Z65" s="43"/>
      <c r="AA65" s="43"/>
      <c r="AB65" s="43">
        <f>83/20</f>
        <v>4.1500000000000004</v>
      </c>
      <c r="AC65" s="43"/>
      <c r="AD65" s="43"/>
      <c r="AE65" s="11"/>
      <c r="AF65" s="11"/>
      <c r="AG65" s="43" t="s">
        <v>25</v>
      </c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11"/>
      <c r="AT65" s="43" t="s">
        <v>78</v>
      </c>
      <c r="AU65" s="43"/>
      <c r="AV65" s="43"/>
      <c r="AW65" s="43"/>
      <c r="AX65" s="43"/>
      <c r="AY65" s="43"/>
      <c r="AZ65" s="43"/>
      <c r="BA65" s="11"/>
      <c r="BB65" s="43">
        <f>(84+73+121+137)/4</f>
        <v>103.75</v>
      </c>
      <c r="BC65" s="43"/>
      <c r="BD65" s="43"/>
      <c r="BE65" s="43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23"/>
      <c r="DY65" s="23"/>
      <c r="DZ65" s="23"/>
      <c r="EA65" s="23"/>
      <c r="EB65" s="23"/>
      <c r="EC65" s="23"/>
      <c r="ED65" s="23"/>
      <c r="EE65" s="23"/>
      <c r="EF65" s="23"/>
      <c r="EG65" s="23"/>
      <c r="EH65" s="23"/>
      <c r="EI65" s="23"/>
      <c r="EJ65" s="23"/>
      <c r="EK65" s="23"/>
      <c r="EL65" s="2"/>
    </row>
    <row r="66" spans="1:142" x14ac:dyDescent="0.25">
      <c r="A66" s="13"/>
      <c r="B66" s="17"/>
      <c r="C66" s="12"/>
      <c r="D66" s="43" t="s">
        <v>17</v>
      </c>
      <c r="E66" s="43"/>
      <c r="F66" s="43"/>
      <c r="G66" s="43" t="s">
        <v>71</v>
      </c>
      <c r="H66" s="43"/>
      <c r="I66" s="43"/>
      <c r="J66" s="43">
        <v>68</v>
      </c>
      <c r="K66" s="43"/>
      <c r="L66" s="43"/>
      <c r="M66" s="11"/>
      <c r="N66" s="11"/>
      <c r="O66" s="11"/>
      <c r="P66" s="43" t="s">
        <v>21</v>
      </c>
      <c r="Q66" s="43"/>
      <c r="R66" s="43"/>
      <c r="S66" s="43"/>
      <c r="T66" s="43"/>
      <c r="U66" s="43"/>
      <c r="V66" s="43"/>
      <c r="W66" s="43"/>
      <c r="X66" s="43"/>
      <c r="Y66" s="43" t="s">
        <v>75</v>
      </c>
      <c r="Z66" s="43"/>
      <c r="AA66" s="43"/>
      <c r="AB66" s="43">
        <f>68/40</f>
        <v>1.7</v>
      </c>
      <c r="AC66" s="43"/>
      <c r="AD66" s="43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"/>
    </row>
    <row r="67" spans="1:142" x14ac:dyDescent="0.25">
      <c r="A67" s="13"/>
      <c r="B67" s="17"/>
      <c r="C67" s="12"/>
      <c r="D67" s="43" t="s">
        <v>18</v>
      </c>
      <c r="E67" s="43"/>
      <c r="F67" s="43"/>
      <c r="G67" s="43" t="s">
        <v>72</v>
      </c>
      <c r="H67" s="43"/>
      <c r="I67" s="43"/>
      <c r="J67" s="43">
        <v>112</v>
      </c>
      <c r="K67" s="43"/>
      <c r="L67" s="43"/>
      <c r="M67" s="11"/>
      <c r="N67" s="11"/>
      <c r="O67" s="11"/>
      <c r="P67" s="43" t="s">
        <v>22</v>
      </c>
      <c r="Q67" s="43"/>
      <c r="R67" s="43"/>
      <c r="S67" s="43"/>
      <c r="T67" s="43"/>
      <c r="U67" s="43"/>
      <c r="V67" s="43"/>
      <c r="W67" s="43"/>
      <c r="X67" s="43"/>
      <c r="Y67" s="43" t="s">
        <v>76</v>
      </c>
      <c r="Z67" s="43"/>
      <c r="AA67" s="43"/>
      <c r="AB67" s="43">
        <f>112/15</f>
        <v>7.4666666666666668</v>
      </c>
      <c r="AC67" s="43"/>
      <c r="AD67" s="43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"/>
    </row>
    <row r="68" spans="1:142" x14ac:dyDescent="0.25">
      <c r="A68" s="13"/>
      <c r="B68" s="17"/>
      <c r="C68" s="12"/>
      <c r="D68" s="43" t="s">
        <v>19</v>
      </c>
      <c r="E68" s="43"/>
      <c r="F68" s="43"/>
      <c r="G68" s="43" t="s">
        <v>73</v>
      </c>
      <c r="H68" s="43"/>
      <c r="I68" s="43"/>
      <c r="J68" s="43">
        <v>126</v>
      </c>
      <c r="K68" s="43"/>
      <c r="L68" s="43"/>
      <c r="M68" s="11"/>
      <c r="N68" s="11"/>
      <c r="O68" s="11"/>
      <c r="P68" s="43" t="s">
        <v>23</v>
      </c>
      <c r="Q68" s="43"/>
      <c r="R68" s="43"/>
      <c r="S68" s="43"/>
      <c r="T68" s="43"/>
      <c r="U68" s="43"/>
      <c r="V68" s="43"/>
      <c r="W68" s="43"/>
      <c r="X68" s="43"/>
      <c r="Y68" s="43" t="s">
        <v>77</v>
      </c>
      <c r="Z68" s="43"/>
      <c r="AA68" s="43"/>
      <c r="AB68" s="43">
        <f>126/30</f>
        <v>4.2</v>
      </c>
      <c r="AC68" s="43"/>
      <c r="AD68" s="43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43" t="s">
        <v>26</v>
      </c>
      <c r="AT68" s="43"/>
      <c r="AU68" s="43"/>
      <c r="AV68" s="43"/>
      <c r="AW68" s="43"/>
      <c r="AX68" s="43"/>
      <c r="AY68" s="43">
        <f ca="1">contarcolor(AL68,D59:CI59)</f>
        <v>35</v>
      </c>
      <c r="AZ68" s="43"/>
      <c r="BA68" s="43"/>
      <c r="BB68" s="11"/>
      <c r="BC68" s="11"/>
      <c r="BD68" s="11"/>
      <c r="BE68" s="11"/>
      <c r="BF68" s="11"/>
      <c r="BG68" s="43" t="s">
        <v>30</v>
      </c>
      <c r="BH68" s="43"/>
      <c r="BI68" s="43"/>
      <c r="BJ68" s="43"/>
      <c r="BK68" s="43"/>
      <c r="BL68" s="43"/>
      <c r="BM68" s="43"/>
      <c r="BN68" s="43"/>
      <c r="BO68" s="43"/>
      <c r="BP68" s="11"/>
      <c r="BQ68" s="43" t="s">
        <v>68</v>
      </c>
      <c r="BR68" s="43"/>
      <c r="BS68" s="43"/>
      <c r="BT68" s="43"/>
      <c r="BU68" s="43"/>
      <c r="BV68" s="43"/>
      <c r="BW68" s="11"/>
      <c r="BX68" s="43">
        <f>(65+100+62+93)/4</f>
        <v>80</v>
      </c>
      <c r="BY68" s="43"/>
      <c r="BZ68" s="43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"/>
    </row>
    <row r="69" spans="1:142" x14ac:dyDescent="0.25">
      <c r="A69" s="13"/>
      <c r="B69" s="17"/>
      <c r="C69" s="12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43" t="s">
        <v>27</v>
      </c>
      <c r="AT69" s="43"/>
      <c r="AU69" s="43"/>
      <c r="AV69" s="43"/>
      <c r="AW69" s="43"/>
      <c r="AX69" s="43"/>
      <c r="AY69" s="43">
        <f ca="1">contarcolor(AM69,H60:BX60)</f>
        <v>0</v>
      </c>
      <c r="AZ69" s="43"/>
      <c r="BA69" s="43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23"/>
      <c r="DY69" s="23"/>
      <c r="DZ69" s="23"/>
      <c r="EA69" s="23"/>
      <c r="EB69" s="23"/>
      <c r="EC69" s="23"/>
      <c r="ED69" s="23"/>
      <c r="EE69" s="23"/>
      <c r="EF69" s="23"/>
      <c r="EG69" s="23"/>
      <c r="EH69" s="23"/>
      <c r="EI69" s="23"/>
      <c r="EJ69" s="23"/>
      <c r="EK69" s="23"/>
      <c r="EL69" s="2"/>
    </row>
    <row r="70" spans="1:142" x14ac:dyDescent="0.25">
      <c r="A70" s="13"/>
      <c r="B70" s="17"/>
      <c r="C70" s="12"/>
      <c r="D70" s="11"/>
      <c r="E70" s="11"/>
      <c r="F70" s="11"/>
      <c r="G70" s="11"/>
      <c r="H70" s="11"/>
      <c r="I70" s="11"/>
      <c r="J70" s="43" t="s">
        <v>96</v>
      </c>
      <c r="K70" s="43"/>
      <c r="L70" s="43"/>
      <c r="M70" s="43"/>
      <c r="N70" s="43"/>
      <c r="O70" s="11">
        <v>21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43" t="s">
        <v>28</v>
      </c>
      <c r="AT70" s="43"/>
      <c r="AU70" s="43"/>
      <c r="AV70" s="43"/>
      <c r="AW70" s="43"/>
      <c r="AX70" s="43"/>
      <c r="AY70" s="43">
        <f ca="1">contarcolor(AL69,L61:DT61)+1</f>
        <v>43</v>
      </c>
      <c r="AZ70" s="43"/>
      <c r="BA70" s="43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23"/>
      <c r="DY70" s="23"/>
      <c r="DZ70" s="23"/>
      <c r="EA70" s="23"/>
      <c r="EB70" s="23"/>
      <c r="EC70" s="23"/>
      <c r="ED70" s="23"/>
      <c r="EE70" s="23"/>
      <c r="EF70" s="23"/>
      <c r="EG70" s="23"/>
      <c r="EH70" s="23"/>
      <c r="EI70" s="23"/>
      <c r="EJ70" s="23"/>
      <c r="EK70" s="23"/>
      <c r="EL70" s="2"/>
    </row>
    <row r="71" spans="1:142" x14ac:dyDescent="0.25">
      <c r="A71" s="13"/>
      <c r="B71" s="26"/>
      <c r="C71" s="27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44" t="s">
        <v>29</v>
      </c>
      <c r="AT71" s="44"/>
      <c r="AU71" s="44"/>
      <c r="AV71" s="44"/>
      <c r="AW71" s="44"/>
      <c r="AX71" s="44"/>
      <c r="AY71" s="44">
        <f ca="1">contarcolor(AN68,N62:EJ62)+1</f>
        <v>67</v>
      </c>
      <c r="AZ71" s="44"/>
      <c r="BA71" s="44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29"/>
    </row>
    <row r="72" spans="1:142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</row>
    <row r="73" spans="1:142" x14ac:dyDescent="0.25">
      <c r="A73" s="13"/>
      <c r="B73" s="45" t="s">
        <v>85</v>
      </c>
      <c r="C73" s="46"/>
      <c r="D73" s="10"/>
      <c r="E73" s="4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8"/>
      <c r="DU73" s="6"/>
      <c r="DV73" s="6"/>
      <c r="DW73" s="6"/>
      <c r="DX73" s="6"/>
      <c r="DY73" s="6"/>
      <c r="DZ73" s="6"/>
      <c r="EA73" s="6"/>
      <c r="EB73" s="6"/>
    </row>
    <row r="74" spans="1:142" ht="9.9499999999999993" customHeight="1" x14ac:dyDescent="0.25">
      <c r="A74" s="13"/>
      <c r="B74" s="30"/>
      <c r="C74" s="7" t="s">
        <v>0</v>
      </c>
      <c r="D74" s="18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0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22"/>
      <c r="AZ74" s="23"/>
      <c r="BA74" s="23"/>
      <c r="BB74" s="23"/>
      <c r="BC74" s="23"/>
      <c r="BD74" s="23"/>
      <c r="BE74" s="23"/>
      <c r="BF74" s="23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24"/>
      <c r="DT74" s="7"/>
      <c r="DU74" s="6"/>
      <c r="DV74" s="6"/>
      <c r="DW74" s="6"/>
      <c r="DX74" s="6"/>
      <c r="DY74" s="6"/>
      <c r="DZ74" s="6"/>
      <c r="EA74" s="6"/>
      <c r="EB74" s="6"/>
    </row>
    <row r="75" spans="1:142" ht="9.9499999999999993" customHeight="1" x14ac:dyDescent="0.25">
      <c r="A75" s="13"/>
      <c r="B75" s="30"/>
      <c r="C75" s="7" t="s">
        <v>1</v>
      </c>
      <c r="D75" s="23"/>
      <c r="E75" s="11"/>
      <c r="F75" s="11"/>
      <c r="G75" s="11"/>
      <c r="H75" s="18"/>
      <c r="I75" s="25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20"/>
      <c r="AL75" s="19"/>
      <c r="AM75" s="19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20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0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22"/>
      <c r="DS75" s="24"/>
      <c r="DT75" s="7"/>
      <c r="DU75" s="6"/>
      <c r="DV75" s="6"/>
      <c r="DW75" s="6"/>
      <c r="DX75" s="6"/>
      <c r="DY75" s="6"/>
      <c r="DZ75" s="6"/>
      <c r="EA75" s="6"/>
      <c r="EB75" s="6"/>
    </row>
    <row r="76" spans="1:142" ht="9.9499999999999993" customHeight="1" x14ac:dyDescent="0.25">
      <c r="A76" s="13"/>
      <c r="B76" s="30"/>
      <c r="C76" s="7" t="s">
        <v>2</v>
      </c>
      <c r="D76" s="23"/>
      <c r="E76" s="11"/>
      <c r="F76" s="11"/>
      <c r="G76" s="11"/>
      <c r="H76" s="11"/>
      <c r="I76" s="11"/>
      <c r="J76" s="11"/>
      <c r="K76" s="11"/>
      <c r="L76" s="18"/>
      <c r="M76" s="25"/>
      <c r="N76" s="11"/>
      <c r="O76" s="20"/>
      <c r="P76" s="19"/>
      <c r="Q76" s="19"/>
      <c r="R76" s="19"/>
      <c r="S76" s="19"/>
      <c r="T76" s="19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3"/>
      <c r="AU76" s="23"/>
      <c r="AV76" s="23"/>
      <c r="AW76" s="23"/>
      <c r="AX76" s="23"/>
      <c r="AY76" s="20"/>
      <c r="AZ76" s="19"/>
      <c r="BA76" s="19"/>
      <c r="BB76" s="19"/>
      <c r="BC76" s="19"/>
      <c r="BD76" s="19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0"/>
      <c r="CE76" s="19"/>
      <c r="CF76" s="19"/>
      <c r="CG76" s="19"/>
      <c r="CH76" s="19"/>
      <c r="CI76" s="19"/>
      <c r="CJ76" s="22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23"/>
      <c r="DQ76" s="11"/>
      <c r="DR76" s="11"/>
      <c r="DS76" s="24"/>
      <c r="DT76" s="7"/>
      <c r="DU76" s="6"/>
      <c r="DV76" s="6"/>
      <c r="DW76" s="6"/>
      <c r="DX76" s="6"/>
      <c r="DY76" s="6"/>
      <c r="DZ76" s="6"/>
      <c r="EA76" s="6"/>
      <c r="EB76" s="6"/>
    </row>
    <row r="77" spans="1:142" ht="9.9499999999999993" customHeight="1" x14ac:dyDescent="0.25">
      <c r="A77" s="13"/>
      <c r="B77" s="30"/>
      <c r="C77" s="7" t="s">
        <v>3</v>
      </c>
      <c r="D77" s="23"/>
      <c r="E77" s="11"/>
      <c r="F77" s="11"/>
      <c r="G77" s="11"/>
      <c r="H77" s="11"/>
      <c r="I77" s="11"/>
      <c r="J77" s="11"/>
      <c r="K77" s="11"/>
      <c r="L77" s="11"/>
      <c r="M77" s="11"/>
      <c r="N77" s="18"/>
      <c r="O77" s="25"/>
      <c r="P77" s="11"/>
      <c r="Q77" s="11"/>
      <c r="R77" s="11"/>
      <c r="S77" s="11"/>
      <c r="T77" s="11"/>
      <c r="U77" s="20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20"/>
      <c r="BY77" s="19"/>
      <c r="BZ77" s="19"/>
      <c r="CA77" s="19"/>
      <c r="CB77" s="19"/>
      <c r="CC77" s="19"/>
      <c r="CD77" s="11"/>
      <c r="CE77" s="11"/>
      <c r="CF77" s="11"/>
      <c r="CG77" s="11"/>
      <c r="CH77" s="11"/>
      <c r="CI77" s="11"/>
      <c r="CJ77" s="20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22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23"/>
      <c r="DQ77" s="11"/>
      <c r="DR77" s="11"/>
      <c r="DS77" s="24"/>
      <c r="DT77" s="7"/>
      <c r="DU77" s="6"/>
      <c r="DV77" s="6"/>
      <c r="DW77" s="6"/>
      <c r="DX77" s="6"/>
      <c r="DY77" s="6"/>
      <c r="DZ77" s="6"/>
      <c r="EA77" s="6"/>
      <c r="EB77" s="6"/>
    </row>
    <row r="78" spans="1:142" x14ac:dyDescent="0.25">
      <c r="A78" s="13"/>
      <c r="B78" s="30"/>
      <c r="C78" s="8" t="s">
        <v>4</v>
      </c>
      <c r="D78" s="9">
        <v>0</v>
      </c>
      <c r="E78" s="10">
        <v>1</v>
      </c>
      <c r="F78" s="9">
        <v>2</v>
      </c>
      <c r="G78" s="10">
        <v>3</v>
      </c>
      <c r="H78" s="9">
        <v>4</v>
      </c>
      <c r="I78" s="10">
        <v>5</v>
      </c>
      <c r="J78" s="9">
        <v>6</v>
      </c>
      <c r="K78" s="10">
        <v>7</v>
      </c>
      <c r="L78" s="9">
        <v>8</v>
      </c>
      <c r="M78" s="10">
        <v>9</v>
      </c>
      <c r="N78" s="9">
        <v>10</v>
      </c>
      <c r="O78" s="10">
        <v>11</v>
      </c>
      <c r="P78" s="9">
        <v>12</v>
      </c>
      <c r="Q78" s="10">
        <v>13</v>
      </c>
      <c r="R78" s="9">
        <v>14</v>
      </c>
      <c r="S78" s="10">
        <v>15</v>
      </c>
      <c r="T78" s="9">
        <v>16</v>
      </c>
      <c r="U78" s="10">
        <v>17</v>
      </c>
      <c r="V78" s="9">
        <v>18</v>
      </c>
      <c r="W78" s="10">
        <v>19</v>
      </c>
      <c r="X78" s="9">
        <v>20</v>
      </c>
      <c r="Y78" s="10">
        <v>21</v>
      </c>
      <c r="Z78" s="9">
        <v>22</v>
      </c>
      <c r="AA78" s="10">
        <v>23</v>
      </c>
      <c r="AB78" s="9">
        <v>24</v>
      </c>
      <c r="AC78" s="10">
        <v>25</v>
      </c>
      <c r="AD78" s="9">
        <v>26</v>
      </c>
      <c r="AE78" s="10">
        <v>27</v>
      </c>
      <c r="AF78" s="9">
        <v>28</v>
      </c>
      <c r="AG78" s="10">
        <v>29</v>
      </c>
      <c r="AH78" s="9">
        <v>30</v>
      </c>
      <c r="AI78" s="10">
        <v>31</v>
      </c>
      <c r="AJ78" s="9">
        <v>32</v>
      </c>
      <c r="AK78" s="10">
        <v>33</v>
      </c>
      <c r="AL78" s="9">
        <v>34</v>
      </c>
      <c r="AM78" s="10">
        <v>35</v>
      </c>
      <c r="AN78" s="9">
        <v>36</v>
      </c>
      <c r="AO78" s="10">
        <v>37</v>
      </c>
      <c r="AP78" s="9">
        <v>38</v>
      </c>
      <c r="AQ78" s="10">
        <v>39</v>
      </c>
      <c r="AR78" s="9">
        <v>40</v>
      </c>
      <c r="AS78" s="10">
        <v>41</v>
      </c>
      <c r="AT78" s="9">
        <v>42</v>
      </c>
      <c r="AU78" s="10">
        <v>43</v>
      </c>
      <c r="AV78" s="9">
        <v>44</v>
      </c>
      <c r="AW78" s="10">
        <v>45</v>
      </c>
      <c r="AX78" s="9">
        <v>46</v>
      </c>
      <c r="AY78" s="10">
        <v>47</v>
      </c>
      <c r="AZ78" s="9">
        <v>48</v>
      </c>
      <c r="BA78" s="10">
        <v>49</v>
      </c>
      <c r="BB78" s="9">
        <v>50</v>
      </c>
      <c r="BC78" s="10">
        <v>51</v>
      </c>
      <c r="BD78" s="9">
        <v>52</v>
      </c>
      <c r="BE78" s="10">
        <v>53</v>
      </c>
      <c r="BF78" s="9">
        <v>54</v>
      </c>
      <c r="BG78" s="10">
        <v>55</v>
      </c>
      <c r="BH78" s="9">
        <v>56</v>
      </c>
      <c r="BI78" s="10">
        <v>57</v>
      </c>
      <c r="BJ78" s="9">
        <v>58</v>
      </c>
      <c r="BK78" s="10">
        <v>59</v>
      </c>
      <c r="BL78" s="9">
        <v>60</v>
      </c>
      <c r="BM78" s="10">
        <v>61</v>
      </c>
      <c r="BN78" s="9">
        <v>62</v>
      </c>
      <c r="BO78" s="10">
        <v>63</v>
      </c>
      <c r="BP78" s="9">
        <v>64</v>
      </c>
      <c r="BQ78" s="10">
        <v>65</v>
      </c>
      <c r="BR78" s="9">
        <v>66</v>
      </c>
      <c r="BS78" s="10">
        <v>67</v>
      </c>
      <c r="BT78" s="9">
        <v>68</v>
      </c>
      <c r="BU78" s="10">
        <v>69</v>
      </c>
      <c r="BV78" s="9">
        <v>70</v>
      </c>
      <c r="BW78" s="10">
        <v>71</v>
      </c>
      <c r="BX78" s="9">
        <v>72</v>
      </c>
      <c r="BY78" s="10">
        <v>73</v>
      </c>
      <c r="BZ78" s="9">
        <v>74</v>
      </c>
      <c r="CA78" s="10">
        <v>75</v>
      </c>
      <c r="CB78" s="9">
        <v>76</v>
      </c>
      <c r="CC78" s="10">
        <v>77</v>
      </c>
      <c r="CD78" s="9">
        <v>78</v>
      </c>
      <c r="CE78" s="10">
        <v>79</v>
      </c>
      <c r="CF78" s="9">
        <v>80</v>
      </c>
      <c r="CG78" s="10">
        <v>81</v>
      </c>
      <c r="CH78" s="9">
        <v>82</v>
      </c>
      <c r="CI78" s="10">
        <v>83</v>
      </c>
      <c r="CJ78" s="9">
        <v>84</v>
      </c>
      <c r="CK78" s="10">
        <v>85</v>
      </c>
      <c r="CL78" s="9">
        <v>86</v>
      </c>
      <c r="CM78" s="10">
        <v>87</v>
      </c>
      <c r="CN78" s="9">
        <v>88</v>
      </c>
      <c r="CO78" s="10">
        <v>89</v>
      </c>
      <c r="CP78" s="9">
        <v>90</v>
      </c>
      <c r="CQ78" s="10">
        <v>91</v>
      </c>
      <c r="CR78" s="9">
        <v>92</v>
      </c>
      <c r="CS78" s="10">
        <v>93</v>
      </c>
      <c r="CT78" s="9">
        <v>94</v>
      </c>
      <c r="CU78" s="10">
        <v>95</v>
      </c>
      <c r="CV78" s="9">
        <v>96</v>
      </c>
      <c r="CW78" s="10">
        <v>97</v>
      </c>
      <c r="CX78" s="9">
        <v>98</v>
      </c>
      <c r="CY78" s="10">
        <v>99</v>
      </c>
      <c r="CZ78" s="9">
        <v>100</v>
      </c>
      <c r="DA78" s="10">
        <v>101</v>
      </c>
      <c r="DB78" s="9">
        <v>102</v>
      </c>
      <c r="DC78" s="10">
        <v>103</v>
      </c>
      <c r="DD78" s="9">
        <v>104</v>
      </c>
      <c r="DE78" s="10">
        <v>105</v>
      </c>
      <c r="DF78" s="9">
        <v>106</v>
      </c>
      <c r="DG78" s="10">
        <v>107</v>
      </c>
      <c r="DH78" s="9">
        <v>108</v>
      </c>
      <c r="DI78" s="10">
        <v>109</v>
      </c>
      <c r="DJ78" s="9">
        <v>110</v>
      </c>
      <c r="DK78" s="10">
        <v>111</v>
      </c>
      <c r="DL78" s="9">
        <v>112</v>
      </c>
      <c r="DM78" s="10">
        <v>113</v>
      </c>
      <c r="DN78" s="9">
        <v>114</v>
      </c>
      <c r="DO78" s="10">
        <v>115</v>
      </c>
      <c r="DP78" s="9">
        <v>116</v>
      </c>
      <c r="DQ78" s="10">
        <v>117</v>
      </c>
      <c r="DR78" s="9">
        <v>118</v>
      </c>
      <c r="DS78" s="10">
        <v>119</v>
      </c>
      <c r="DT78" s="7"/>
      <c r="DU78" s="6"/>
      <c r="DV78" s="6"/>
      <c r="DW78" s="6"/>
      <c r="DX78" s="6"/>
      <c r="DY78" s="6"/>
      <c r="DZ78" s="6"/>
      <c r="EA78" s="6"/>
      <c r="EB78" s="6"/>
    </row>
    <row r="79" spans="1:142" x14ac:dyDescent="0.25">
      <c r="A79" s="13"/>
      <c r="B79" s="3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7"/>
      <c r="DU79" s="6"/>
      <c r="DV79" s="6"/>
      <c r="DW79" s="6"/>
      <c r="DX79" s="6"/>
      <c r="DY79" s="6"/>
      <c r="DZ79" s="6"/>
      <c r="EA79" s="6"/>
      <c r="EB79" s="6"/>
    </row>
    <row r="80" spans="1:142" x14ac:dyDescent="0.25">
      <c r="A80" s="13"/>
      <c r="B80" s="30"/>
      <c r="C80" s="11"/>
      <c r="D80" s="43" t="s">
        <v>16</v>
      </c>
      <c r="E80" s="43"/>
      <c r="F80" s="43"/>
      <c r="G80" s="43" t="s">
        <v>86</v>
      </c>
      <c r="H80" s="43"/>
      <c r="I80" s="43"/>
      <c r="J80" s="43">
        <v>47</v>
      </c>
      <c r="K80" s="43"/>
      <c r="L80" s="43"/>
      <c r="M80" s="11"/>
      <c r="N80" s="11"/>
      <c r="O80" s="11"/>
      <c r="P80" s="43" t="s">
        <v>20</v>
      </c>
      <c r="Q80" s="43"/>
      <c r="R80" s="43"/>
      <c r="S80" s="43"/>
      <c r="T80" s="43"/>
      <c r="U80" s="43"/>
      <c r="V80" s="43"/>
      <c r="W80" s="43"/>
      <c r="X80" s="43"/>
      <c r="Y80" s="43" t="s">
        <v>90</v>
      </c>
      <c r="Z80" s="43"/>
      <c r="AA80" s="43"/>
      <c r="AB80" s="43">
        <f>47/20</f>
        <v>2.35</v>
      </c>
      <c r="AC80" s="43"/>
      <c r="AD80" s="43"/>
      <c r="AE80" s="11"/>
      <c r="AF80" s="11"/>
      <c r="AG80" s="43" t="s">
        <v>25</v>
      </c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11"/>
      <c r="AT80" s="43" t="s">
        <v>94</v>
      </c>
      <c r="AU80" s="43"/>
      <c r="AV80" s="43"/>
      <c r="AW80" s="43"/>
      <c r="AX80" s="43"/>
      <c r="AY80" s="43"/>
      <c r="AZ80" s="43"/>
      <c r="BA80" s="11"/>
      <c r="BB80" s="43">
        <f>(48+119+85+96)/4</f>
        <v>87</v>
      </c>
      <c r="BC80" s="43"/>
      <c r="BD80" s="43"/>
      <c r="BE80" s="43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7"/>
      <c r="DU80" s="6"/>
      <c r="DV80" s="6"/>
      <c r="DW80" s="6"/>
      <c r="DX80" s="6"/>
      <c r="DY80" s="6"/>
      <c r="DZ80" s="6"/>
      <c r="EA80" s="6"/>
      <c r="EB80" s="6"/>
    </row>
    <row r="81" spans="1:132" x14ac:dyDescent="0.25">
      <c r="A81" s="13"/>
      <c r="B81" s="30"/>
      <c r="C81" s="11"/>
      <c r="D81" s="43" t="s">
        <v>17</v>
      </c>
      <c r="E81" s="43"/>
      <c r="F81" s="43"/>
      <c r="G81" s="43" t="s">
        <v>87</v>
      </c>
      <c r="H81" s="43"/>
      <c r="I81" s="43"/>
      <c r="J81" s="43">
        <v>114</v>
      </c>
      <c r="K81" s="43"/>
      <c r="L81" s="43"/>
      <c r="M81" s="11"/>
      <c r="N81" s="11"/>
      <c r="O81" s="11"/>
      <c r="P81" s="43" t="s">
        <v>21</v>
      </c>
      <c r="Q81" s="43"/>
      <c r="R81" s="43"/>
      <c r="S81" s="43"/>
      <c r="T81" s="43"/>
      <c r="U81" s="43"/>
      <c r="V81" s="43"/>
      <c r="W81" s="43"/>
      <c r="X81" s="43"/>
      <c r="Y81" s="43" t="s">
        <v>91</v>
      </c>
      <c r="Z81" s="43"/>
      <c r="AA81" s="43"/>
      <c r="AB81" s="43">
        <f>114/40</f>
        <v>2.85</v>
      </c>
      <c r="AC81" s="43"/>
      <c r="AD81" s="43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7"/>
      <c r="DU81" s="6"/>
      <c r="DV81" s="6"/>
      <c r="DW81" s="6"/>
      <c r="DX81" s="6"/>
      <c r="DY81" s="6"/>
      <c r="DZ81" s="6"/>
      <c r="EA81" s="6"/>
      <c r="EB81" s="6"/>
    </row>
    <row r="82" spans="1:132" x14ac:dyDescent="0.25">
      <c r="A82" s="13"/>
      <c r="B82" s="30"/>
      <c r="C82" s="11"/>
      <c r="D82" s="43" t="s">
        <v>18</v>
      </c>
      <c r="E82" s="43"/>
      <c r="F82" s="43"/>
      <c r="G82" s="43" t="s">
        <v>88</v>
      </c>
      <c r="H82" s="43"/>
      <c r="I82" s="43"/>
      <c r="J82" s="43">
        <v>76</v>
      </c>
      <c r="K82" s="43"/>
      <c r="L82" s="43"/>
      <c r="M82" s="11"/>
      <c r="N82" s="11"/>
      <c r="O82" s="11"/>
      <c r="P82" s="43" t="s">
        <v>22</v>
      </c>
      <c r="Q82" s="43"/>
      <c r="R82" s="43"/>
      <c r="S82" s="43"/>
      <c r="T82" s="43"/>
      <c r="U82" s="43"/>
      <c r="V82" s="43"/>
      <c r="W82" s="43"/>
      <c r="X82" s="43"/>
      <c r="Y82" s="43" t="s">
        <v>92</v>
      </c>
      <c r="Z82" s="43"/>
      <c r="AA82" s="43"/>
      <c r="AB82" s="43">
        <f>76/15</f>
        <v>5.0666666666666664</v>
      </c>
      <c r="AC82" s="43"/>
      <c r="AD82" s="43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7"/>
      <c r="DU82" s="6"/>
      <c r="DV82" s="6"/>
      <c r="DW82" s="6"/>
      <c r="DX82" s="6"/>
      <c r="DY82" s="6"/>
      <c r="DZ82" s="6"/>
      <c r="EA82" s="6"/>
      <c r="EB82" s="6"/>
    </row>
    <row r="83" spans="1:132" x14ac:dyDescent="0.25">
      <c r="A83" s="13"/>
      <c r="B83" s="30"/>
      <c r="C83" s="11"/>
      <c r="D83" s="43" t="s">
        <v>19</v>
      </c>
      <c r="E83" s="43"/>
      <c r="F83" s="43"/>
      <c r="G83" s="43" t="s">
        <v>89</v>
      </c>
      <c r="H83" s="43"/>
      <c r="I83" s="43"/>
      <c r="J83" s="43">
        <v>85</v>
      </c>
      <c r="K83" s="43"/>
      <c r="L83" s="43"/>
      <c r="M83" s="11"/>
      <c r="N83" s="11"/>
      <c r="O83" s="11"/>
      <c r="P83" s="43" t="s">
        <v>23</v>
      </c>
      <c r="Q83" s="43"/>
      <c r="R83" s="43"/>
      <c r="S83" s="43"/>
      <c r="T83" s="43"/>
      <c r="U83" s="43"/>
      <c r="V83" s="43"/>
      <c r="W83" s="43"/>
      <c r="X83" s="43"/>
      <c r="Y83" s="43" t="s">
        <v>93</v>
      </c>
      <c r="Z83" s="43"/>
      <c r="AA83" s="43"/>
      <c r="AB83" s="43">
        <f>85/30</f>
        <v>2.8333333333333335</v>
      </c>
      <c r="AC83" s="43"/>
      <c r="AD83" s="43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43" t="s">
        <v>26</v>
      </c>
      <c r="AT83" s="43"/>
      <c r="AU83" s="43"/>
      <c r="AV83" s="43"/>
      <c r="AW83" s="43"/>
      <c r="AX83" s="43"/>
      <c r="AY83" s="43">
        <f ca="1">contarcolor(AN84,D74:AY74)</f>
        <v>0</v>
      </c>
      <c r="AZ83" s="43"/>
      <c r="BA83" s="43"/>
      <c r="BB83" s="11"/>
      <c r="BC83" s="11"/>
      <c r="BD83" s="11"/>
      <c r="BE83" s="11"/>
      <c r="BF83" s="11"/>
      <c r="BG83" s="43" t="s">
        <v>30</v>
      </c>
      <c r="BH83" s="43"/>
      <c r="BI83" s="43"/>
      <c r="BJ83" s="43"/>
      <c r="BK83" s="43"/>
      <c r="BL83" s="43"/>
      <c r="BM83" s="43"/>
      <c r="BN83" s="43"/>
      <c r="BO83" s="43"/>
      <c r="BP83" s="11"/>
      <c r="BQ83" s="43" t="s">
        <v>95</v>
      </c>
      <c r="BR83" s="43"/>
      <c r="BS83" s="43"/>
      <c r="BT83" s="43"/>
      <c r="BU83" s="43"/>
      <c r="BV83" s="43"/>
      <c r="BW83" s="11"/>
      <c r="BX83" s="43">
        <f>(0+45+7+26)/4</f>
        <v>19.5</v>
      </c>
      <c r="BY83" s="43"/>
      <c r="BZ83" s="43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7"/>
      <c r="DU83" s="6"/>
      <c r="DV83" s="6"/>
      <c r="DW83" s="6"/>
      <c r="DX83" s="6"/>
      <c r="DY83" s="6"/>
      <c r="DZ83" s="6"/>
      <c r="EA83" s="6"/>
      <c r="EB83" s="6"/>
    </row>
    <row r="84" spans="1:132" x14ac:dyDescent="0.25">
      <c r="A84" s="13"/>
      <c r="B84" s="3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43" t="s">
        <v>27</v>
      </c>
      <c r="AT84" s="43"/>
      <c r="AU84" s="43"/>
      <c r="AV84" s="43"/>
      <c r="AW84" s="43"/>
      <c r="AX84" s="43"/>
      <c r="AY84" s="43">
        <f ca="1">contarcolor(AI85,H75:DR75)+1</f>
        <v>45</v>
      </c>
      <c r="AZ84" s="43"/>
      <c r="BA84" s="43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7"/>
      <c r="DU84" s="6"/>
      <c r="DV84" s="6"/>
      <c r="DW84" s="6"/>
      <c r="DX84" s="6"/>
      <c r="DY84" s="6"/>
      <c r="DZ84" s="6"/>
      <c r="EA84" s="6"/>
      <c r="EB84" s="6"/>
    </row>
    <row r="85" spans="1:132" x14ac:dyDescent="0.25">
      <c r="A85" s="13"/>
      <c r="B85" s="30"/>
      <c r="C85" s="11"/>
      <c r="D85" s="11"/>
      <c r="E85" s="11"/>
      <c r="F85" s="11"/>
      <c r="G85" s="11"/>
      <c r="H85" s="11"/>
      <c r="I85" s="11"/>
      <c r="J85" s="43" t="s">
        <v>96</v>
      </c>
      <c r="K85" s="43"/>
      <c r="L85" s="43"/>
      <c r="M85" s="43"/>
      <c r="N85" s="43"/>
      <c r="O85" s="11">
        <v>3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43" t="s">
        <v>28</v>
      </c>
      <c r="AT85" s="43"/>
      <c r="AU85" s="43"/>
      <c r="AV85" s="43"/>
      <c r="AW85" s="43"/>
      <c r="AX85" s="43"/>
      <c r="AY85" s="43">
        <f ca="1">contarcolor(AI85,L76:CJ76)+1</f>
        <v>7</v>
      </c>
      <c r="AZ85" s="43"/>
      <c r="BA85" s="43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7"/>
      <c r="DU85" s="6"/>
      <c r="DV85" s="6"/>
      <c r="DW85" s="6"/>
      <c r="DX85" s="6"/>
      <c r="DY85" s="6"/>
      <c r="DZ85" s="6"/>
      <c r="EA85" s="6"/>
      <c r="EB85" s="6"/>
    </row>
    <row r="86" spans="1:132" x14ac:dyDescent="0.25">
      <c r="A86" s="13"/>
      <c r="B86" s="3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44" t="s">
        <v>29</v>
      </c>
      <c r="AT86" s="44"/>
      <c r="AU86" s="44"/>
      <c r="AV86" s="44"/>
      <c r="AW86" s="44"/>
      <c r="AX86" s="44"/>
      <c r="AY86" s="44">
        <f ca="1">contarcolor(AL85,N77:CU77)+1</f>
        <v>26</v>
      </c>
      <c r="AZ86" s="44"/>
      <c r="BA86" s="44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  <c r="DB86" s="28"/>
      <c r="DC86" s="28"/>
      <c r="DD86" s="28"/>
      <c r="DE86" s="28"/>
      <c r="DF86" s="28"/>
      <c r="DG86" s="28"/>
      <c r="DH86" s="28"/>
      <c r="DI86" s="28"/>
      <c r="DJ86" s="28"/>
      <c r="DK86" s="28"/>
      <c r="DL86" s="28"/>
      <c r="DM86" s="28"/>
      <c r="DN86" s="28"/>
      <c r="DO86" s="28"/>
      <c r="DP86" s="28"/>
      <c r="DQ86" s="28"/>
      <c r="DR86" s="28"/>
      <c r="DS86" s="28"/>
      <c r="DT86" s="39"/>
      <c r="DU86" s="6"/>
      <c r="DV86" s="6"/>
      <c r="DW86" s="6"/>
      <c r="DX86" s="6"/>
      <c r="DY86" s="6"/>
      <c r="DZ86" s="6"/>
      <c r="EA86" s="6"/>
      <c r="EB86" s="6"/>
    </row>
    <row r="87" spans="1:132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</row>
    <row r="88" spans="1:132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</row>
    <row r="89" spans="1:132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</row>
    <row r="90" spans="1:132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</row>
    <row r="91" spans="1:132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</row>
    <row r="92" spans="1:132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</row>
    <row r="93" spans="1:132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</row>
    <row r="94" spans="1:132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</row>
    <row r="95" spans="1:132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</row>
    <row r="96" spans="1:132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</row>
    <row r="97" spans="1:127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</row>
    <row r="98" spans="1:127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</row>
    <row r="99" spans="1:127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</row>
    <row r="100" spans="1:127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</row>
    <row r="101" spans="1:127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</row>
    <row r="102" spans="1:127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</row>
    <row r="103" spans="1:127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</row>
    <row r="104" spans="1:127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</row>
    <row r="105" spans="1:127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</row>
    <row r="106" spans="1:127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</row>
    <row r="107" spans="1:127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</row>
    <row r="108" spans="1:127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</row>
    <row r="109" spans="1:127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</row>
    <row r="110" spans="1:127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</row>
    <row r="111" spans="1:127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</row>
    <row r="112" spans="1:127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</row>
    <row r="113" spans="1:127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</row>
    <row r="114" spans="1:127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</row>
    <row r="115" spans="1:127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</row>
    <row r="116" spans="1:127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</row>
    <row r="117" spans="1:127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</row>
    <row r="118" spans="1:127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</row>
    <row r="119" spans="1:127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</row>
    <row r="120" spans="1:127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</row>
    <row r="121" spans="1:127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</row>
    <row r="122" spans="1:127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</row>
    <row r="123" spans="1:127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</row>
    <row r="124" spans="1:127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</row>
    <row r="125" spans="1:127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</row>
    <row r="126" spans="1:127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</row>
    <row r="127" spans="1:127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</row>
    <row r="128" spans="1:127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</row>
    <row r="129" spans="1:127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</row>
    <row r="130" spans="1:127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</row>
    <row r="131" spans="1:127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</row>
    <row r="132" spans="1:127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</row>
    <row r="133" spans="1:127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</row>
    <row r="134" spans="1:127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</row>
    <row r="135" spans="1:127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</row>
    <row r="136" spans="1:127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</row>
    <row r="137" spans="1:127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</row>
    <row r="138" spans="1:127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</row>
    <row r="139" spans="1:127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</row>
    <row r="140" spans="1:127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</row>
    <row r="141" spans="1:127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</row>
    <row r="142" spans="1:127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</row>
    <row r="143" spans="1:127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</row>
    <row r="144" spans="1:127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</row>
    <row r="145" spans="1:127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</row>
    <row r="146" spans="1:127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</row>
    <row r="147" spans="1:127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</row>
    <row r="148" spans="1:127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</row>
    <row r="149" spans="1:127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</row>
    <row r="150" spans="1:127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</row>
    <row r="151" spans="1:127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</row>
    <row r="152" spans="1:127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</row>
    <row r="153" spans="1:127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</row>
    <row r="154" spans="1:127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</row>
    <row r="155" spans="1:127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</row>
    <row r="156" spans="1:127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</row>
    <row r="157" spans="1:127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</row>
    <row r="158" spans="1:127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</row>
    <row r="159" spans="1:127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</row>
    <row r="160" spans="1:127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</row>
    <row r="161" spans="1:127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</row>
    <row r="162" spans="1:127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</row>
    <row r="163" spans="1:127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</row>
    <row r="164" spans="1:127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</row>
    <row r="165" spans="1:127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</row>
    <row r="166" spans="1:127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</row>
    <row r="167" spans="1:127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</row>
    <row r="168" spans="1:127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</row>
    <row r="169" spans="1:127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</row>
    <row r="170" spans="1:127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</row>
    <row r="171" spans="1:127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</row>
    <row r="172" spans="1:127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</row>
    <row r="173" spans="1:127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</row>
    <row r="174" spans="1:127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</row>
    <row r="175" spans="1:127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</row>
    <row r="176" spans="1:127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</row>
    <row r="177" spans="1:127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</row>
    <row r="178" spans="1:127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</row>
    <row r="179" spans="1:127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</row>
    <row r="180" spans="1:127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</row>
    <row r="181" spans="1:127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</row>
    <row r="182" spans="1:127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</row>
    <row r="183" spans="1:127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</row>
    <row r="184" spans="1:127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</row>
    <row r="185" spans="1:127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</row>
    <row r="186" spans="1:127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</row>
    <row r="187" spans="1:127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</row>
    <row r="188" spans="1:127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</row>
    <row r="189" spans="1:127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</row>
    <row r="190" spans="1:127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</row>
    <row r="191" spans="1:127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</row>
    <row r="192" spans="1:127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</row>
    <row r="193" spans="1:127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</row>
    <row r="194" spans="1:127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</row>
    <row r="195" spans="1:127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</row>
    <row r="196" spans="1:127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</row>
    <row r="197" spans="1:127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</row>
    <row r="198" spans="1:127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</row>
    <row r="199" spans="1:127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</row>
  </sheetData>
  <mergeCells count="233">
    <mergeCell ref="AH19:AM19"/>
    <mergeCell ref="AH15:AM15"/>
    <mergeCell ref="C15:I15"/>
    <mergeCell ref="AH17:AM17"/>
    <mergeCell ref="AH18:AM18"/>
    <mergeCell ref="V18:AG18"/>
    <mergeCell ref="C17:I17"/>
    <mergeCell ref="AH16:AM16"/>
    <mergeCell ref="C16:I16"/>
    <mergeCell ref="Y9:AA9"/>
    <mergeCell ref="G10:I10"/>
    <mergeCell ref="J10:L10"/>
    <mergeCell ref="M10:O10"/>
    <mergeCell ref="Y10:AA10"/>
    <mergeCell ref="V19:AG19"/>
    <mergeCell ref="D9:F9"/>
    <mergeCell ref="D10:F10"/>
    <mergeCell ref="D11:F11"/>
    <mergeCell ref="D12:F12"/>
    <mergeCell ref="D13:F13"/>
    <mergeCell ref="G9:I9"/>
    <mergeCell ref="J9:L9"/>
    <mergeCell ref="M9:O9"/>
    <mergeCell ref="C18:I18"/>
    <mergeCell ref="C19:I19"/>
    <mergeCell ref="J15:U15"/>
    <mergeCell ref="V15:AG15"/>
    <mergeCell ref="J16:U16"/>
    <mergeCell ref="J17:U17"/>
    <mergeCell ref="J18:U18"/>
    <mergeCell ref="J19:U19"/>
    <mergeCell ref="V16:AG16"/>
    <mergeCell ref="V17:AG17"/>
    <mergeCell ref="P10:X10"/>
    <mergeCell ref="G13:I13"/>
    <mergeCell ref="J13:L13"/>
    <mergeCell ref="M13:O13"/>
    <mergeCell ref="P13:R13"/>
    <mergeCell ref="S13:U13"/>
    <mergeCell ref="V13:X13"/>
    <mergeCell ref="Y11:AA11"/>
    <mergeCell ref="G12:I12"/>
    <mergeCell ref="J12:L12"/>
    <mergeCell ref="M12:O12"/>
    <mergeCell ref="Y12:AA12"/>
    <mergeCell ref="G11:I11"/>
    <mergeCell ref="J11:L11"/>
    <mergeCell ref="M11:O11"/>
    <mergeCell ref="BG12:BO12"/>
    <mergeCell ref="BQ12:BV12"/>
    <mergeCell ref="BX12:BZ12"/>
    <mergeCell ref="B2:C2"/>
    <mergeCell ref="B22:C22"/>
    <mergeCell ref="AS14:AX14"/>
    <mergeCell ref="AS15:AX15"/>
    <mergeCell ref="AY12:BA12"/>
    <mergeCell ref="AY13:BA13"/>
    <mergeCell ref="AY14:BA14"/>
    <mergeCell ref="AY15:BA15"/>
    <mergeCell ref="AG9:AR9"/>
    <mergeCell ref="AT9:AZ9"/>
    <mergeCell ref="BB9:BE9"/>
    <mergeCell ref="AS12:AX12"/>
    <mergeCell ref="AS13:AX13"/>
    <mergeCell ref="AB9:AD9"/>
    <mergeCell ref="AB10:AD10"/>
    <mergeCell ref="AB11:AD11"/>
    <mergeCell ref="AB12:AD12"/>
    <mergeCell ref="P11:X11"/>
    <mergeCell ref="P12:X12"/>
    <mergeCell ref="Y13:AA13"/>
    <mergeCell ref="P9:X9"/>
    <mergeCell ref="P30:X30"/>
    <mergeCell ref="P31:X31"/>
    <mergeCell ref="P32:X32"/>
    <mergeCell ref="D29:F29"/>
    <mergeCell ref="D30:F30"/>
    <mergeCell ref="D31:F31"/>
    <mergeCell ref="D32:F32"/>
    <mergeCell ref="G29:I29"/>
    <mergeCell ref="G30:I30"/>
    <mergeCell ref="G31:I31"/>
    <mergeCell ref="G32:I32"/>
    <mergeCell ref="BB29:BE29"/>
    <mergeCell ref="AS32:AX32"/>
    <mergeCell ref="AS33:AX33"/>
    <mergeCell ref="AS34:AX34"/>
    <mergeCell ref="Y29:AA29"/>
    <mergeCell ref="Y30:AA30"/>
    <mergeCell ref="Y31:AA31"/>
    <mergeCell ref="Y32:AA32"/>
    <mergeCell ref="AB29:AD29"/>
    <mergeCell ref="AB30:AD30"/>
    <mergeCell ref="AB31:AD31"/>
    <mergeCell ref="AB32:AD32"/>
    <mergeCell ref="D51:F51"/>
    <mergeCell ref="G51:I51"/>
    <mergeCell ref="J51:L51"/>
    <mergeCell ref="P51:X51"/>
    <mergeCell ref="Y51:AA51"/>
    <mergeCell ref="AB51:AD51"/>
    <mergeCell ref="BQ32:BV32"/>
    <mergeCell ref="BX32:BZ32"/>
    <mergeCell ref="B37:C37"/>
    <mergeCell ref="D50:F50"/>
    <mergeCell ref="G50:I50"/>
    <mergeCell ref="J50:L50"/>
    <mergeCell ref="P50:X50"/>
    <mergeCell ref="Y50:AA50"/>
    <mergeCell ref="AB50:AD50"/>
    <mergeCell ref="AS35:AX35"/>
    <mergeCell ref="AY32:BA32"/>
    <mergeCell ref="AY33:BA33"/>
    <mergeCell ref="AY34:BA34"/>
    <mergeCell ref="AY35:BA35"/>
    <mergeCell ref="BG32:BO32"/>
    <mergeCell ref="J32:L32"/>
    <mergeCell ref="C45:C48"/>
    <mergeCell ref="B58:C58"/>
    <mergeCell ref="AS53:AX53"/>
    <mergeCell ref="AY53:BA53"/>
    <mergeCell ref="BG53:BO53"/>
    <mergeCell ref="BQ53:BV53"/>
    <mergeCell ref="BX53:BZ53"/>
    <mergeCell ref="AS54:AX54"/>
    <mergeCell ref="AY54:BA54"/>
    <mergeCell ref="D53:F53"/>
    <mergeCell ref="G53:I53"/>
    <mergeCell ref="J53:L53"/>
    <mergeCell ref="P53:X53"/>
    <mergeCell ref="Y53:AA53"/>
    <mergeCell ref="AB53:AD53"/>
    <mergeCell ref="D52:F52"/>
    <mergeCell ref="G52:I52"/>
    <mergeCell ref="J52:L52"/>
    <mergeCell ref="P52:X52"/>
    <mergeCell ref="Y52:AA52"/>
    <mergeCell ref="AB52:AD52"/>
    <mergeCell ref="AG50:AR50"/>
    <mergeCell ref="AT50:AZ50"/>
    <mergeCell ref="BB50:BE50"/>
    <mergeCell ref="BB65:BE65"/>
    <mergeCell ref="D66:F66"/>
    <mergeCell ref="G66:I66"/>
    <mergeCell ref="J66:L66"/>
    <mergeCell ref="P66:X66"/>
    <mergeCell ref="Y66:AA66"/>
    <mergeCell ref="AB66:AD66"/>
    <mergeCell ref="D65:F65"/>
    <mergeCell ref="G65:I65"/>
    <mergeCell ref="J65:L65"/>
    <mergeCell ref="P65:X65"/>
    <mergeCell ref="Y65:AA65"/>
    <mergeCell ref="BQ68:BV68"/>
    <mergeCell ref="BX68:BZ68"/>
    <mergeCell ref="AS69:AX69"/>
    <mergeCell ref="AY69:BA69"/>
    <mergeCell ref="Y67:AA67"/>
    <mergeCell ref="AB67:AD67"/>
    <mergeCell ref="D68:F68"/>
    <mergeCell ref="G68:I68"/>
    <mergeCell ref="J68:L68"/>
    <mergeCell ref="P68:X68"/>
    <mergeCell ref="Y68:AA68"/>
    <mergeCell ref="AB68:AD68"/>
    <mergeCell ref="D67:F67"/>
    <mergeCell ref="G67:I67"/>
    <mergeCell ref="J67:L67"/>
    <mergeCell ref="P67:X67"/>
    <mergeCell ref="B73:C73"/>
    <mergeCell ref="D80:F80"/>
    <mergeCell ref="G80:I80"/>
    <mergeCell ref="J80:L80"/>
    <mergeCell ref="P80:X80"/>
    <mergeCell ref="Y80:AA80"/>
    <mergeCell ref="AS68:AX68"/>
    <mergeCell ref="AY68:BA68"/>
    <mergeCell ref="BG68:BO68"/>
    <mergeCell ref="BB80:BE80"/>
    <mergeCell ref="D81:F81"/>
    <mergeCell ref="G81:I81"/>
    <mergeCell ref="J81:L81"/>
    <mergeCell ref="P81:X81"/>
    <mergeCell ref="Y81:AA81"/>
    <mergeCell ref="AB81:AD81"/>
    <mergeCell ref="AS70:AX70"/>
    <mergeCell ref="AY70:BA70"/>
    <mergeCell ref="AS71:AX71"/>
    <mergeCell ref="AY71:BA71"/>
    <mergeCell ref="D82:F82"/>
    <mergeCell ref="G82:I82"/>
    <mergeCell ref="J82:L82"/>
    <mergeCell ref="P82:X82"/>
    <mergeCell ref="Y82:AA82"/>
    <mergeCell ref="AB82:AD82"/>
    <mergeCell ref="AB80:AD80"/>
    <mergeCell ref="AG80:AR80"/>
    <mergeCell ref="AT80:AZ80"/>
    <mergeCell ref="BG83:BO83"/>
    <mergeCell ref="BQ83:BV83"/>
    <mergeCell ref="BX83:BZ83"/>
    <mergeCell ref="AS84:AX84"/>
    <mergeCell ref="AY84:BA84"/>
    <mergeCell ref="D83:F83"/>
    <mergeCell ref="G83:I83"/>
    <mergeCell ref="J83:L83"/>
    <mergeCell ref="P83:X83"/>
    <mergeCell ref="Y83:AA83"/>
    <mergeCell ref="AB83:AD83"/>
    <mergeCell ref="AS85:AX85"/>
    <mergeCell ref="AY85:BA85"/>
    <mergeCell ref="AS86:AX86"/>
    <mergeCell ref="AY86:BA86"/>
    <mergeCell ref="AQ17:AU17"/>
    <mergeCell ref="L34:P34"/>
    <mergeCell ref="J55:N55"/>
    <mergeCell ref="J70:N70"/>
    <mergeCell ref="J85:N85"/>
    <mergeCell ref="AS83:AX83"/>
    <mergeCell ref="AY83:BA83"/>
    <mergeCell ref="AB65:AD65"/>
    <mergeCell ref="AG65:AR65"/>
    <mergeCell ref="AT65:AZ65"/>
    <mergeCell ref="AS55:AX55"/>
    <mergeCell ref="AY55:BA55"/>
    <mergeCell ref="AS56:AX56"/>
    <mergeCell ref="AY56:BA56"/>
    <mergeCell ref="AG29:AR29"/>
    <mergeCell ref="AT29:AZ29"/>
    <mergeCell ref="J29:L29"/>
    <mergeCell ref="J30:L30"/>
    <mergeCell ref="J31:L31"/>
    <mergeCell ref="P29:X2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facuu .</dc:creator>
  <cp:lastModifiedBy>facuu .</cp:lastModifiedBy>
  <dcterms:created xsi:type="dcterms:W3CDTF">2018-09-21T04:21:35Z</dcterms:created>
  <dcterms:modified xsi:type="dcterms:W3CDTF">2018-09-27T08:12:40Z</dcterms:modified>
</cp:coreProperties>
</file>